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1"/>
  <workbookPr filterPrivacy="1" codeName="ThisWorkbook"/>
  <xr:revisionPtr revIDLastSave="0" documentId="13_ncr:1_{1B416B4D-1C9F-4C41-BB9A-C3A464C2BD27}" xr6:coauthVersionLast="36" xr6:coauthVersionMax="46" xr10:uidLastSave="{00000000-0000-0000-0000-000000000000}"/>
  <bookViews>
    <workbookView xWindow="-105" yWindow="-105" windowWidth="21825" windowHeight="14025" xr2:uid="{00000000-000D-0000-FFFF-FFFF00000000}"/>
  </bookViews>
  <sheets>
    <sheet name="汇总情况" sheetId="6" r:id="rId1"/>
    <sheet name="1.1NSFR(不含ETF空头)" sheetId="2" r:id="rId2"/>
    <sheet name="1.2净资本(不含ETF空头)" sheetId="4" r:id="rId3"/>
    <sheet name="1.3风险资本准备计算表(不含ETF空头)" sheetId="5" r:id="rId4"/>
    <sheet name="1.4LCR(不含ETF空头)" sheetId="1" r:id="rId5"/>
  </sheets>
  <definedNames>
    <definedName name="_xlnm.Print_Area" localSheetId="0">汇总情况!$A$1:$E$15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1" i="2" l="1"/>
  <c r="D63" i="2" l="1"/>
  <c r="D7" i="6" l="1"/>
  <c r="E36" i="5" l="1"/>
  <c r="D9" i="6" l="1"/>
  <c r="D37" i="1" l="1"/>
  <c r="E15" i="5"/>
  <c r="D67" i="2"/>
  <c r="D6" i="6" l="1"/>
  <c r="H15" i="5" l="1"/>
  <c r="H98" i="5"/>
  <c r="H99" i="5"/>
  <c r="H97" i="5"/>
  <c r="H95" i="5"/>
  <c r="H94" i="5"/>
  <c r="H89" i="5"/>
  <c r="H90" i="5"/>
  <c r="H91" i="5"/>
  <c r="H88" i="5"/>
  <c r="H83" i="5"/>
  <c r="H84" i="5"/>
  <c r="H85" i="5"/>
  <c r="H82" i="5"/>
  <c r="H73" i="5"/>
  <c r="H74" i="5"/>
  <c r="H75" i="5"/>
  <c r="H76" i="5"/>
  <c r="H77" i="5"/>
  <c r="H78" i="5"/>
  <c r="H72" i="5"/>
  <c r="H68" i="5"/>
  <c r="H69" i="5"/>
  <c r="H67" i="5"/>
  <c r="H64" i="5"/>
  <c r="H65" i="5"/>
  <c r="H63" i="5"/>
  <c r="H60" i="5"/>
  <c r="H61" i="5"/>
  <c r="H59" i="5"/>
  <c r="H56" i="5"/>
  <c r="H57" i="5"/>
  <c r="H55" i="5"/>
  <c r="H51" i="5"/>
  <c r="H50" i="5"/>
  <c r="H43" i="5"/>
  <c r="H41" i="5"/>
  <c r="H40" i="5"/>
  <c r="H35" i="5"/>
  <c r="H37" i="5"/>
  <c r="H38" i="5"/>
  <c r="H34" i="5"/>
  <c r="H29" i="5"/>
  <c r="H30" i="5"/>
  <c r="H31" i="5"/>
  <c r="H32" i="5"/>
  <c r="H28" i="5"/>
  <c r="H20" i="5"/>
  <c r="H21" i="5"/>
  <c r="H22" i="5"/>
  <c r="H23" i="5"/>
  <c r="H24" i="5"/>
  <c r="H25" i="5"/>
  <c r="H26" i="5"/>
  <c r="H19" i="5"/>
  <c r="H13" i="5"/>
  <c r="H14" i="5"/>
  <c r="H16" i="5"/>
  <c r="H12" i="5"/>
  <c r="H8" i="5"/>
  <c r="H9" i="5"/>
  <c r="H10" i="5"/>
  <c r="H7" i="5"/>
  <c r="G5" i="4"/>
  <c r="G24" i="4" s="1"/>
  <c r="G28" i="4" s="1"/>
  <c r="G31" i="4" s="1"/>
  <c r="H52" i="5" l="1"/>
  <c r="H6" i="5"/>
  <c r="D8" i="4"/>
  <c r="D24" i="4" s="1"/>
  <c r="D28" i="4" s="1"/>
  <c r="G74" i="1"/>
  <c r="G77" i="2"/>
  <c r="H71" i="5" l="1"/>
  <c r="H79" i="5"/>
  <c r="H49" i="5"/>
  <c r="F17" i="2"/>
  <c r="F19" i="2"/>
  <c r="F22" i="2"/>
  <c r="F23" i="2"/>
  <c r="F24" i="2"/>
  <c r="F25" i="2"/>
  <c r="F26" i="2"/>
  <c r="F27" i="2"/>
  <c r="F28" i="2"/>
  <c r="F29" i="2"/>
  <c r="F31" i="2"/>
  <c r="F32" i="2"/>
  <c r="F33" i="2"/>
  <c r="F34" i="2"/>
  <c r="F35" i="2"/>
  <c r="F36" i="2"/>
  <c r="F37" i="2"/>
  <c r="F38" i="2"/>
  <c r="F42" i="2"/>
  <c r="F43" i="2"/>
  <c r="F44" i="2"/>
  <c r="F47" i="2"/>
  <c r="F48" i="2"/>
  <c r="F50" i="2"/>
  <c r="F51" i="2"/>
  <c r="F52" i="2"/>
  <c r="F53" i="2"/>
  <c r="F55" i="2"/>
  <c r="F56" i="2"/>
  <c r="F57" i="2"/>
  <c r="F59" i="2"/>
  <c r="F60" i="2"/>
  <c r="F61" i="2"/>
  <c r="F62" i="2"/>
  <c r="F63" i="2"/>
  <c r="F66" i="2"/>
  <c r="F68" i="2"/>
  <c r="F69" i="2"/>
  <c r="F72" i="2"/>
  <c r="F73" i="2"/>
  <c r="F74" i="2"/>
  <c r="F75" i="2"/>
  <c r="F76" i="2"/>
  <c r="F12" i="2"/>
  <c r="F10" i="2"/>
  <c r="F8" i="2"/>
  <c r="F11" i="2"/>
  <c r="F9" i="2"/>
  <c r="F7" i="2"/>
  <c r="F21" i="1"/>
  <c r="F18" i="1"/>
  <c r="F16" i="1"/>
  <c r="F14" i="1"/>
  <c r="F12" i="1"/>
  <c r="F10" i="1"/>
  <c r="F8" i="1"/>
  <c r="F67" i="1"/>
  <c r="F68" i="1"/>
  <c r="F69" i="1"/>
  <c r="F71" i="1"/>
  <c r="F72" i="1"/>
  <c r="F64" i="1"/>
  <c r="F65" i="1"/>
  <c r="F63" i="1"/>
  <c r="F62" i="1"/>
  <c r="F27" i="1"/>
  <c r="F28" i="1"/>
  <c r="F29" i="1"/>
  <c r="F30" i="1"/>
  <c r="F31" i="1"/>
  <c r="F32" i="1"/>
  <c r="F33" i="1"/>
  <c r="F34" i="1"/>
  <c r="F35" i="1"/>
  <c r="F36" i="1"/>
  <c r="F37" i="1"/>
  <c r="F38" i="1"/>
  <c r="F40" i="1"/>
  <c r="F41" i="1"/>
  <c r="F43" i="1"/>
  <c r="F45" i="1"/>
  <c r="F46" i="1"/>
  <c r="F48" i="1"/>
  <c r="F49" i="1"/>
  <c r="F51" i="1"/>
  <c r="F52" i="1"/>
  <c r="F53" i="1"/>
  <c r="F54" i="1"/>
  <c r="F56" i="1"/>
  <c r="F58" i="1"/>
  <c r="F59" i="1"/>
  <c r="F25" i="1"/>
  <c r="F24" i="1"/>
  <c r="F7" i="1"/>
  <c r="F9" i="1"/>
  <c r="F11" i="1"/>
  <c r="F13" i="1"/>
  <c r="F15" i="1"/>
  <c r="F17" i="1"/>
  <c r="F19" i="1"/>
  <c r="F5" i="2" l="1"/>
  <c r="D4" i="2" s="1"/>
  <c r="F20" i="2"/>
  <c r="D60" i="1"/>
  <c r="F20" i="1" l="1"/>
  <c r="H36" i="5" l="1"/>
  <c r="H18" i="5" s="1"/>
  <c r="D44" i="1" l="1"/>
  <c r="F44" i="1" s="1"/>
  <c r="F67" i="2"/>
  <c r="F18" i="2"/>
  <c r="E10" i="4"/>
  <c r="F6" i="1"/>
  <c r="F16" i="2"/>
  <c r="H48" i="5"/>
  <c r="F47" i="1"/>
  <c r="F70" i="2"/>
  <c r="F41" i="2" l="1"/>
  <c r="E8" i="4"/>
  <c r="H10" i="4"/>
  <c r="H8" i="4" s="1"/>
  <c r="H24" i="4" s="1"/>
  <c r="H28" i="4" s="1"/>
  <c r="D3" i="6"/>
  <c r="D8" i="6"/>
  <c r="D5" i="6" s="1"/>
  <c r="D15" i="2" s="1"/>
  <c r="D22" i="1"/>
  <c r="D73" i="1" s="1"/>
  <c r="D5" i="1" l="1"/>
  <c r="F5" i="1" s="1"/>
  <c r="D4" i="1" s="1"/>
  <c r="D74" i="1" s="1"/>
  <c r="D75" i="1" s="1"/>
  <c r="B13" i="6" s="1"/>
  <c r="F15" i="2"/>
  <c r="E47" i="5"/>
  <c r="H47" i="5" s="1"/>
  <c r="H46" i="5" s="1"/>
  <c r="H5" i="5" s="1"/>
  <c r="H101" i="5" s="1"/>
  <c r="H102" i="5" s="1"/>
  <c r="H104" i="5" s="1"/>
  <c r="F40" i="2"/>
  <c r="D13" i="2" s="1"/>
  <c r="D77" i="2" s="1"/>
  <c r="D14" i="6" s="1"/>
  <c r="H29" i="4"/>
  <c r="D13" i="6" l="1"/>
  <c r="D78" i="2"/>
  <c r="B14" i="6" s="1"/>
  <c r="H31" i="4"/>
  <c r="D12" i="6" s="1"/>
  <c r="H32" i="4" l="1"/>
  <c r="B12"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F102" authorId="0" shapeId="0" xr:uid="{6E0C5E31-7EC3-49A1-81E2-6E721E8BE0F1}">
      <text>
        <r>
          <rPr>
            <b/>
            <sz val="9"/>
            <color indexed="81"/>
            <rFont val="宋体"/>
            <family val="3"/>
            <charset val="134"/>
          </rPr>
          <t>分类评价结果调整系数</t>
        </r>
      </text>
    </comment>
  </commentList>
</comments>
</file>

<file path=xl/sharedStrings.xml><?xml version="1.0" encoding="utf-8"?>
<sst xmlns="http://schemas.openxmlformats.org/spreadsheetml/2006/main" count="357" uniqueCount="313">
  <si>
    <t>项目</t>
    <phoneticPr fontId="2" type="noConversion"/>
  </si>
  <si>
    <t>行次</t>
    <phoneticPr fontId="2" type="noConversion"/>
  </si>
  <si>
    <t>期末金额</t>
    <phoneticPr fontId="2" type="noConversion"/>
  </si>
  <si>
    <t>折算率</t>
    <phoneticPr fontId="2" type="noConversion"/>
  </si>
  <si>
    <t>折算后金额</t>
    <phoneticPr fontId="2" type="noConversion"/>
  </si>
  <si>
    <t>优质流动性资产</t>
    <phoneticPr fontId="2" type="noConversion"/>
  </si>
  <si>
    <t>其中：</t>
    <phoneticPr fontId="2" type="noConversion"/>
  </si>
  <si>
    <t>货币资金</t>
    <phoneticPr fontId="2" type="noConversion"/>
  </si>
  <si>
    <t>结算备付金</t>
    <phoneticPr fontId="2" type="noConversion"/>
  </si>
  <si>
    <t>国债、中央银行票据、国开债</t>
    <phoneticPr fontId="2" type="noConversion"/>
  </si>
  <si>
    <t>减：已冻结或质押部分</t>
    <phoneticPr fontId="2" type="noConversion"/>
  </si>
  <si>
    <t>政策性金融债、政府支持机构债券</t>
    <phoneticPr fontId="2" type="noConversion"/>
  </si>
  <si>
    <t>地方政府债券</t>
    <phoneticPr fontId="2" type="noConversion"/>
  </si>
  <si>
    <t>同业存单</t>
    <phoneticPr fontId="2" type="noConversion"/>
  </si>
  <si>
    <t>信用评级 AAA 级的信用债券</t>
    <phoneticPr fontId="2" type="noConversion"/>
  </si>
  <si>
    <t>货币基金</t>
    <phoneticPr fontId="2" type="noConversion"/>
  </si>
  <si>
    <t>上海 180 指数、深圳 100 指数、沪深 300指数成分股及宽基指数类 ETF</t>
    <phoneticPr fontId="2" type="noConversion"/>
  </si>
  <si>
    <t>未来 30 日现金流出</t>
    <phoneticPr fontId="2" type="noConversion"/>
  </si>
  <si>
    <t>1.30 日内到期的负债现金流出</t>
    <phoneticPr fontId="2" type="noConversion"/>
  </si>
  <si>
    <t>短期借款</t>
    <phoneticPr fontId="2" type="noConversion"/>
  </si>
  <si>
    <t>拆入资金</t>
    <phoneticPr fontId="2" type="noConversion"/>
  </si>
  <si>
    <t>卖出回购（按质押物分类）</t>
    <phoneticPr fontId="2" type="noConversion"/>
  </si>
  <si>
    <t>2.或有负债</t>
    <phoneticPr fontId="2" type="noConversion"/>
  </si>
  <si>
    <t xml:space="preserve">        对外担保金额及担保承诺</t>
    <phoneticPr fontId="2" type="noConversion"/>
  </si>
  <si>
    <t xml:space="preserve">        其他或有事项</t>
    <phoneticPr fontId="2" type="noConversion"/>
  </si>
  <si>
    <t>3.自营业务及长期投资资金流出</t>
    <phoneticPr fontId="2" type="noConversion"/>
  </si>
  <si>
    <t>利率互换、外汇衍生品</t>
    <phoneticPr fontId="2" type="noConversion"/>
  </si>
  <si>
    <t>权益互换</t>
    <phoneticPr fontId="2" type="noConversion"/>
  </si>
  <si>
    <t>国债期货、债券远期及卖出信用衍生品</t>
    <phoneticPr fontId="2" type="noConversion"/>
  </si>
  <si>
    <t>大宗商品衍生品（不含期权）</t>
    <phoneticPr fontId="2" type="noConversion"/>
  </si>
  <si>
    <t>股指期货、卖出期权</t>
    <phoneticPr fontId="2" type="noConversion"/>
  </si>
  <si>
    <t>已承诺不可撤销的 30 日内须支付的自营业务投资金额</t>
    <phoneticPr fontId="2" type="noConversion"/>
  </si>
  <si>
    <t>其中：国债、中央银行票据、国开债</t>
    <phoneticPr fontId="2" type="noConversion"/>
  </si>
  <si>
    <t xml:space="preserve">           政策性金融债、政府支持机构债券</t>
    <phoneticPr fontId="2" type="noConversion"/>
  </si>
  <si>
    <t xml:space="preserve">           地方政府债券</t>
    <phoneticPr fontId="2" type="noConversion"/>
  </si>
  <si>
    <t xml:space="preserve">           同业存单</t>
    <phoneticPr fontId="2" type="noConversion"/>
  </si>
  <si>
    <t xml:space="preserve">           信用评级 AAA 级的信用债券</t>
    <phoneticPr fontId="2" type="noConversion"/>
  </si>
  <si>
    <t xml:space="preserve">           信用评级 AA 级的信用债券</t>
    <phoneticPr fontId="2" type="noConversion"/>
  </si>
  <si>
    <t xml:space="preserve">           债券基金</t>
    <phoneticPr fontId="2" type="noConversion"/>
  </si>
  <si>
    <t xml:space="preserve">           其他</t>
    <phoneticPr fontId="2" type="noConversion"/>
  </si>
  <si>
    <t>应付职工薪酬、税费、利息和股利</t>
    <phoneticPr fontId="2" type="noConversion"/>
  </si>
  <si>
    <t>交易性金融负债、衍生金融负债</t>
    <phoneticPr fontId="2" type="noConversion"/>
  </si>
  <si>
    <t>30 日内须偿还的次级债务和其他债务</t>
    <phoneticPr fontId="2" type="noConversion"/>
  </si>
  <si>
    <t>对外担保金额及担保承诺</t>
    <phoneticPr fontId="2" type="noConversion"/>
  </si>
  <si>
    <t>其他或有事项</t>
    <phoneticPr fontId="2" type="noConversion"/>
  </si>
  <si>
    <t>已承诺不可撤销的 30 日内须支付的长期股权、固定资产、无形资产和其他长期资产的投资金额</t>
    <phoneticPr fontId="2" type="noConversion"/>
  </si>
  <si>
    <t>4.承销业务资金流出</t>
    <phoneticPr fontId="2" type="noConversion"/>
  </si>
  <si>
    <t>股票再融资承销承诺</t>
    <phoneticPr fontId="2" type="noConversion"/>
  </si>
  <si>
    <t>股票 IPO 承销承诺</t>
    <phoneticPr fontId="2" type="noConversion"/>
  </si>
  <si>
    <t>债券承销承诺</t>
    <phoneticPr fontId="2" type="noConversion"/>
  </si>
  <si>
    <t>5.融资类业务资金流出</t>
    <phoneticPr fontId="2" type="noConversion"/>
  </si>
  <si>
    <t>6.资产管理业务资金流出</t>
    <phoneticPr fontId="2" type="noConversion"/>
  </si>
  <si>
    <t>已承诺不可撤销的 30 日内须自有资金认购的金额</t>
    <phoneticPr fontId="2" type="noConversion"/>
  </si>
  <si>
    <t>7.其他资金流出</t>
    <phoneticPr fontId="2" type="noConversion"/>
  </si>
  <si>
    <t>已承诺不可撤销的 30 日内须给付的约定购回业务金额</t>
    <phoneticPr fontId="2" type="noConversion"/>
  </si>
  <si>
    <t>经中国证监会认可的已承诺不可撤销的对子公司出具的流动性担保承诺</t>
    <phoneticPr fontId="2" type="noConversion"/>
  </si>
  <si>
    <t>未来 30 日现金流入</t>
    <phoneticPr fontId="2" type="noConversion"/>
  </si>
  <si>
    <t>1. 30 日内到期的短期资金流入</t>
    <phoneticPr fontId="2" type="noConversion"/>
  </si>
  <si>
    <t>银行承兑汇票</t>
    <phoneticPr fontId="2" type="noConversion"/>
  </si>
  <si>
    <t>拆出资金</t>
    <phoneticPr fontId="2" type="noConversion"/>
  </si>
  <si>
    <t>买入返售金融资产</t>
    <phoneticPr fontId="2" type="noConversion"/>
  </si>
  <si>
    <t>应收股利、应收利息</t>
    <phoneticPr fontId="2" type="noConversion"/>
  </si>
  <si>
    <t>2. 自营业务资金流入</t>
    <phoneticPr fontId="2" type="noConversion"/>
  </si>
  <si>
    <t>3. 未使用的不可撤销金融机构授信额度</t>
    <phoneticPr fontId="2" type="noConversion"/>
  </si>
  <si>
    <t>4. 经中国证监会认可的未使用的由证券公司母公司出具的不可撤销流动性担保承诺</t>
    <phoneticPr fontId="2" type="noConversion"/>
  </si>
  <si>
    <t>5.其他资金流入</t>
    <phoneticPr fontId="2" type="noConversion"/>
  </si>
  <si>
    <t>集中清算交易在途结算资金</t>
    <phoneticPr fontId="2" type="noConversion"/>
  </si>
  <si>
    <t>银行间市场非集中清算交易在途结算资金</t>
    <phoneticPr fontId="2" type="noConversion"/>
  </si>
  <si>
    <t>未来 30 日内现金净流出</t>
    <phoneticPr fontId="2" type="noConversion"/>
  </si>
  <si>
    <t>流动性覆盖率（LCR）</t>
    <phoneticPr fontId="2" type="noConversion"/>
  </si>
  <si>
    <t>证券公司流动性覆盖率计算表</t>
    <phoneticPr fontId="2" type="noConversion"/>
  </si>
  <si>
    <t>单位：</t>
    <phoneticPr fontId="2" type="noConversion"/>
  </si>
  <si>
    <t>原始值</t>
    <phoneticPr fontId="2" type="noConversion"/>
  </si>
  <si>
    <t>证券公司净稳定资金率计算表</t>
    <phoneticPr fontId="2" type="noConversion"/>
  </si>
  <si>
    <t>可用稳定资金</t>
    <phoneticPr fontId="2" type="noConversion"/>
  </si>
  <si>
    <t>1. 净资产</t>
    <phoneticPr fontId="2" type="noConversion"/>
  </si>
  <si>
    <t>2. 剩余存续期大于等于 1 年的借款和负债</t>
    <phoneticPr fontId="2" type="noConversion"/>
  </si>
  <si>
    <t xml:space="preserve">    次级债务</t>
    <phoneticPr fontId="2" type="noConversion"/>
  </si>
  <si>
    <t xml:space="preserve">    长期借款</t>
    <phoneticPr fontId="2" type="noConversion"/>
  </si>
  <si>
    <t xml:space="preserve">    应付债券</t>
    <phoneticPr fontId="2" type="noConversion"/>
  </si>
  <si>
    <t xml:space="preserve">    其他</t>
    <phoneticPr fontId="2" type="noConversion"/>
  </si>
  <si>
    <t>3. 所有其他负债和权益</t>
    <phoneticPr fontId="2" type="noConversion"/>
  </si>
  <si>
    <t>4. 经中国证监会认可的调整项目</t>
    <phoneticPr fontId="2" type="noConversion"/>
  </si>
  <si>
    <t>所需稳定资金</t>
    <phoneticPr fontId="2" type="noConversion"/>
  </si>
  <si>
    <t>1. 高流动性资产</t>
    <phoneticPr fontId="2" type="noConversion"/>
  </si>
  <si>
    <t xml:space="preserve">    货币资金</t>
    <phoneticPr fontId="2" type="noConversion"/>
  </si>
  <si>
    <t xml:space="preserve">    结算备付金</t>
    <phoneticPr fontId="2" type="noConversion"/>
  </si>
  <si>
    <t xml:space="preserve">    拆出资金（不足 1 年）</t>
    <phoneticPr fontId="2" type="noConversion"/>
  </si>
  <si>
    <t xml:space="preserve">    存出保证金</t>
    <phoneticPr fontId="2" type="noConversion"/>
  </si>
  <si>
    <t xml:space="preserve">    买入返售金融资产</t>
    <phoneticPr fontId="2" type="noConversion"/>
  </si>
  <si>
    <t xml:space="preserve">    货币基金</t>
    <phoneticPr fontId="2" type="noConversion"/>
  </si>
  <si>
    <t>2. 剩余存续期不足 1 年的证券</t>
    <phoneticPr fontId="2" type="noConversion"/>
  </si>
  <si>
    <t xml:space="preserve">    国债、中央银行票据、国开债</t>
    <phoneticPr fontId="2" type="noConversion"/>
  </si>
  <si>
    <t xml:space="preserve">    政策性金融债、政府支持机构债券</t>
    <phoneticPr fontId="2" type="noConversion"/>
  </si>
  <si>
    <t xml:space="preserve">    地方政府债券</t>
    <phoneticPr fontId="2" type="noConversion"/>
  </si>
  <si>
    <t xml:space="preserve">    同业存单</t>
    <phoneticPr fontId="2" type="noConversion"/>
  </si>
  <si>
    <t xml:space="preserve">    信用评级 AAA 级的信用债券</t>
    <phoneticPr fontId="2" type="noConversion"/>
  </si>
  <si>
    <t xml:space="preserve">    信用评级 BBB 级以下的信用债券</t>
    <phoneticPr fontId="2" type="noConversion"/>
  </si>
  <si>
    <t>3. 剩余存续期大于等于 1 年证券</t>
    <phoneticPr fontId="2" type="noConversion"/>
  </si>
  <si>
    <t xml:space="preserve">    政策性金融债券、政府支持机构债券</t>
    <phoneticPr fontId="2" type="noConversion"/>
  </si>
  <si>
    <t>4. 股票</t>
    <phoneticPr fontId="2" type="noConversion"/>
  </si>
  <si>
    <t xml:space="preserve">    上海 180 指数、深圳 100 指数、沪深 300指数成分股</t>
    <phoneticPr fontId="2" type="noConversion"/>
  </si>
  <si>
    <t xml:space="preserve">    一般上市股票</t>
    <phoneticPr fontId="2" type="noConversion"/>
  </si>
  <si>
    <t xml:space="preserve">    流通受限的股票及其他股票</t>
    <phoneticPr fontId="2" type="noConversion"/>
  </si>
  <si>
    <t>5. 可转换债券</t>
    <phoneticPr fontId="2" type="noConversion"/>
  </si>
  <si>
    <t>6. 衍生金融资产</t>
    <phoneticPr fontId="2" type="noConversion"/>
  </si>
  <si>
    <t xml:space="preserve">    非权益类基金</t>
    <phoneticPr fontId="2" type="noConversion"/>
  </si>
  <si>
    <t xml:space="preserve">    其中：利率债指数基金</t>
    <phoneticPr fontId="2" type="noConversion"/>
  </si>
  <si>
    <t xml:space="preserve">               其他非权益类基金</t>
    <phoneticPr fontId="2" type="noConversion"/>
  </si>
  <si>
    <t xml:space="preserve">    权益类基金</t>
    <phoneticPr fontId="2" type="noConversion"/>
  </si>
  <si>
    <t xml:space="preserve">    其中：指数基金</t>
    <phoneticPr fontId="2" type="noConversion"/>
  </si>
  <si>
    <t xml:space="preserve">               分级基金中非优先级基金</t>
    <phoneticPr fontId="2" type="noConversion"/>
  </si>
  <si>
    <t xml:space="preserve">               其他权益类基金</t>
    <phoneticPr fontId="2" type="noConversion"/>
  </si>
  <si>
    <t>7. 证券投资基金</t>
    <phoneticPr fontId="2" type="noConversion"/>
  </si>
  <si>
    <t>8. 其他现金管理类产品</t>
    <phoneticPr fontId="2" type="noConversion"/>
  </si>
  <si>
    <t>9. 融出资金</t>
    <phoneticPr fontId="2" type="noConversion"/>
  </si>
  <si>
    <t xml:space="preserve">    自有资金融出资金</t>
    <phoneticPr fontId="2" type="noConversion"/>
  </si>
  <si>
    <t xml:space="preserve">    转融通融出资金</t>
    <phoneticPr fontId="2" type="noConversion"/>
  </si>
  <si>
    <t>10. 约定购回融出资金</t>
    <phoneticPr fontId="2" type="noConversion"/>
  </si>
  <si>
    <t>11. 股票质押式回购融出资金</t>
    <phoneticPr fontId="2" type="noConversion"/>
  </si>
  <si>
    <t xml:space="preserve">      到期日在 1 年以上（不含）的融出资金</t>
    <phoneticPr fontId="2" type="noConversion"/>
  </si>
  <si>
    <t xml:space="preserve">      逾期合约融出资金</t>
    <phoneticPr fontId="2" type="noConversion"/>
  </si>
  <si>
    <t>12. 1 年以内的应收款项、应收股利</t>
    <phoneticPr fontId="2" type="noConversion"/>
  </si>
  <si>
    <t>13. 其他所有资产</t>
    <phoneticPr fontId="2" type="noConversion"/>
  </si>
  <si>
    <t>14. 表外项目</t>
    <phoneticPr fontId="2" type="noConversion"/>
  </si>
  <si>
    <t>14.1 证券衍生产品</t>
    <phoneticPr fontId="2" type="noConversion"/>
  </si>
  <si>
    <t xml:space="preserve">        利率互换、外汇衍生品</t>
    <phoneticPr fontId="2" type="noConversion"/>
  </si>
  <si>
    <t xml:space="preserve">        权益互换</t>
    <phoneticPr fontId="2" type="noConversion"/>
  </si>
  <si>
    <t xml:space="preserve">        国债期货、债券远期及卖出信用衍生品</t>
    <phoneticPr fontId="2" type="noConversion"/>
  </si>
  <si>
    <t xml:space="preserve">        大宗商品衍生品（不含期权）</t>
    <phoneticPr fontId="2" type="noConversion"/>
  </si>
  <si>
    <t xml:space="preserve">        股指期货、卖出期权</t>
    <phoneticPr fontId="2" type="noConversion"/>
  </si>
  <si>
    <t>14.2 其他表外项目</t>
    <phoneticPr fontId="2" type="noConversion"/>
  </si>
  <si>
    <t xml:space="preserve">        股票再融资承销承诺</t>
    <phoneticPr fontId="2" type="noConversion"/>
  </si>
  <si>
    <t xml:space="preserve">        股票 IPO 承销承诺</t>
    <phoneticPr fontId="2" type="noConversion"/>
  </si>
  <si>
    <t>净稳定资金率（NSFR）</t>
    <phoneticPr fontId="2" type="noConversion"/>
  </si>
  <si>
    <t xml:space="preserve">        债券承销承诺</t>
    <phoneticPr fontId="2" type="noConversion"/>
  </si>
  <si>
    <t>亿元</t>
    <phoneticPr fontId="2" type="noConversion"/>
  </si>
  <si>
    <t>证券公司净资本计算表</t>
    <phoneticPr fontId="2" type="noConversion"/>
  </si>
  <si>
    <t>单位：</t>
  </si>
  <si>
    <t>期初余额</t>
    <phoneticPr fontId="2" type="noConversion"/>
  </si>
  <si>
    <t>期末余额</t>
    <phoneticPr fontId="2" type="noConversion"/>
  </si>
  <si>
    <t>扣减比例</t>
    <phoneticPr fontId="2" type="noConversion"/>
  </si>
  <si>
    <t>应计算的金额</t>
    <phoneticPr fontId="2" type="noConversion"/>
  </si>
  <si>
    <t>期初余额</t>
  </si>
  <si>
    <t>净资产</t>
    <phoneticPr fontId="2" type="noConversion"/>
  </si>
  <si>
    <t>减： 优先股及永续次级债等</t>
  </si>
  <si>
    <t>减： 资产项目的风险调整合计</t>
    <phoneticPr fontId="2" type="noConversion"/>
  </si>
  <si>
    <t xml:space="preserve">         存出保证金</t>
    <phoneticPr fontId="2" type="noConversion"/>
  </si>
  <si>
    <t xml:space="preserve">         其中：履约保证金</t>
    <phoneticPr fontId="2" type="noConversion"/>
  </si>
  <si>
    <t xml:space="preserve">                    期货（ 期权） 保证金</t>
    <phoneticPr fontId="2" type="noConversion"/>
  </si>
  <si>
    <t xml:space="preserve">                    其他存出保证金</t>
    <phoneticPr fontId="2" type="noConversion"/>
  </si>
  <si>
    <t xml:space="preserve">         长期股权投资</t>
    <phoneticPr fontId="2" type="noConversion"/>
  </si>
  <si>
    <t xml:space="preserve">         投资性房地产、 固定资产、 在建工程</t>
    <phoneticPr fontId="2" type="noConversion"/>
  </si>
  <si>
    <t xml:space="preserve">        其他</t>
    <phoneticPr fontId="2" type="noConversion"/>
  </si>
  <si>
    <t>减： 或有负债的风险调整合计</t>
    <phoneticPr fontId="2" type="noConversion"/>
  </si>
  <si>
    <t xml:space="preserve">         对外担保金额及担保承诺</t>
    <phoneticPr fontId="2" type="noConversion"/>
  </si>
  <si>
    <t xml:space="preserve">         其他或有负债</t>
    <phoneticPr fontId="2" type="noConversion"/>
  </si>
  <si>
    <t>加： 中国证监会认定或核准的其他调整项目合计</t>
    <phoneticPr fontId="2" type="noConversion"/>
  </si>
  <si>
    <t xml:space="preserve">        母公司提供的担保承诺</t>
    <phoneticPr fontId="2" type="noConversion"/>
  </si>
  <si>
    <t xml:space="preserve">        其他项目</t>
    <phoneticPr fontId="2" type="noConversion"/>
  </si>
  <si>
    <t>减： 中国证监会认定或核准的其他调整项目合计</t>
    <phoneticPr fontId="2" type="noConversion"/>
  </si>
  <si>
    <t xml:space="preserve">         所有权受限等无法变现的资产(如被冻结）</t>
    <phoneticPr fontId="2" type="noConversion"/>
  </si>
  <si>
    <t xml:space="preserve">         其他项目</t>
    <phoneticPr fontId="2" type="noConversion"/>
  </si>
  <si>
    <t>核心净资本</t>
    <phoneticPr fontId="2" type="noConversion"/>
  </si>
  <si>
    <t>加： 附属净资本</t>
    <phoneticPr fontId="2" type="noConversion"/>
  </si>
  <si>
    <t xml:space="preserve">        借入的次级债（ 含永续次级债） </t>
    <phoneticPr fontId="2" type="noConversion"/>
  </si>
  <si>
    <t xml:space="preserve">        中国证监会认定或核准的其他调整项目</t>
    <phoneticPr fontId="2" type="noConversion"/>
  </si>
  <si>
    <t>净资本</t>
    <phoneticPr fontId="2" type="noConversion"/>
  </si>
  <si>
    <t>按照合约期末名义金额总额填列，即持仓成本求和</t>
    <phoneticPr fontId="2" type="noConversion"/>
  </si>
  <si>
    <t>监管回复互换预付金不能填入此列</t>
    <phoneticPr fontId="2" type="noConversion"/>
  </si>
  <si>
    <t>按合约期末名义价值总额填列</t>
    <phoneticPr fontId="2" type="noConversion"/>
  </si>
  <si>
    <t>对冲不需归0，正常填，区别于LCR</t>
    <phoneticPr fontId="2" type="noConversion"/>
  </si>
  <si>
    <t>↓</t>
    <phoneticPr fontId="2" type="noConversion"/>
  </si>
  <si>
    <t>项目</t>
    <phoneticPr fontId="2" type="noConversion"/>
  </si>
  <si>
    <t>行次</t>
    <phoneticPr fontId="2" type="noConversion"/>
  </si>
  <si>
    <t>期初余额</t>
    <phoneticPr fontId="2" type="noConversion"/>
  </si>
  <si>
    <t>期末余额</t>
    <phoneticPr fontId="2" type="noConversion"/>
  </si>
  <si>
    <t>计算标准</t>
    <phoneticPr fontId="2" type="noConversion"/>
  </si>
  <si>
    <t>风险资本准备</t>
    <phoneticPr fontId="2" type="noConversion"/>
  </si>
  <si>
    <t>1. 市场风险资本准备</t>
    <phoneticPr fontId="2" type="noConversion"/>
  </si>
  <si>
    <t>上海 180 指数、 深圳 100指数、 沪深 300 指数成分股</t>
    <phoneticPr fontId="2" type="noConversion"/>
  </si>
  <si>
    <t>一般上市股票</t>
    <phoneticPr fontId="2" type="noConversion"/>
  </si>
  <si>
    <t>流通受限的股票</t>
    <phoneticPr fontId="2" type="noConversion"/>
  </si>
  <si>
    <t>其他股票</t>
    <phoneticPr fontId="2" type="noConversion"/>
  </si>
  <si>
    <t>权益类基金</t>
    <phoneticPr fontId="2" type="noConversion"/>
  </si>
  <si>
    <t>其中： 指数基金</t>
    <phoneticPr fontId="2" type="noConversion"/>
  </si>
  <si>
    <t>股指期货、 权益互换及卖出期权</t>
    <phoneticPr fontId="2" type="noConversion"/>
  </si>
  <si>
    <t xml:space="preserve">            分级基金中的非优先级基金</t>
    <phoneticPr fontId="2" type="noConversion"/>
  </si>
  <si>
    <t xml:space="preserve">            其他权益类基金</t>
    <phoneticPr fontId="2" type="noConversion"/>
  </si>
  <si>
    <t>买入期权</t>
    <phoneticPr fontId="2" type="noConversion"/>
  </si>
  <si>
    <t>其他</t>
    <phoneticPr fontId="2" type="noConversion"/>
  </si>
  <si>
    <t>（ 2） 非权益类证券及其衍生品规模</t>
    <phoneticPr fontId="2" type="noConversion"/>
  </si>
  <si>
    <t>国债、 中央银行票据、 国开债</t>
    <phoneticPr fontId="2" type="noConversion"/>
  </si>
  <si>
    <t>政策性金融债、 政府支持机构债券</t>
    <phoneticPr fontId="2" type="noConversion"/>
  </si>
  <si>
    <t>地方政府债券</t>
    <phoneticPr fontId="2" type="noConversion"/>
  </si>
  <si>
    <t>同业存单</t>
    <phoneticPr fontId="2" type="noConversion"/>
  </si>
  <si>
    <t>信用评级 AAA 级的信用债券</t>
    <phoneticPr fontId="2" type="noConversion"/>
  </si>
  <si>
    <t>信用评级 AAA 级以下， AA级（ 含） 以上的信用债券</t>
    <phoneticPr fontId="2" type="noConversion"/>
  </si>
  <si>
    <t>信用评级 AA 级以下， BBB级（ 含） 以上的信用债券</t>
    <phoneticPr fontId="2" type="noConversion"/>
  </si>
  <si>
    <t>信用评级 BBB 级以下的信用债券</t>
    <phoneticPr fontId="2" type="noConversion"/>
  </si>
  <si>
    <t>非权益类基金</t>
    <phoneticPr fontId="2" type="noConversion"/>
  </si>
  <si>
    <t>其中：（ 1） 权益类证券及其衍生品规模</t>
    <phoneticPr fontId="2" type="noConversion"/>
  </si>
  <si>
    <t>其中：货币基金</t>
    <phoneticPr fontId="2" type="noConversion"/>
  </si>
  <si>
    <t xml:space="preserve">           利率债指数基金</t>
    <phoneticPr fontId="2" type="noConversion"/>
  </si>
  <si>
    <t xml:space="preserve">           其他非权益类基金</t>
    <phoneticPr fontId="2" type="noConversion"/>
  </si>
  <si>
    <t>国债期货、 债券远期及利率互换</t>
    <phoneticPr fontId="2" type="noConversion"/>
  </si>
  <si>
    <t>外汇衍生品</t>
    <phoneticPr fontId="2" type="noConversion"/>
  </si>
  <si>
    <t>集合及信托等产品</t>
    <phoneticPr fontId="2" type="noConversion"/>
  </si>
  <si>
    <t>其中： 未约定先行承担亏损</t>
    <phoneticPr fontId="2" type="noConversion"/>
  </si>
  <si>
    <t xml:space="preserve">            约定先行承担亏损</t>
    <phoneticPr fontId="2" type="noConversion"/>
  </si>
  <si>
    <t>单一产品</t>
    <phoneticPr fontId="2" type="noConversion"/>
  </si>
  <si>
    <t>大宗商品现货（ 含黄金）</t>
    <phoneticPr fontId="2" type="noConversion"/>
  </si>
  <si>
    <t>大宗商品衍生品（ 不含期权）</t>
    <phoneticPr fontId="2" type="noConversion"/>
  </si>
  <si>
    <t>非权益类期权</t>
    <phoneticPr fontId="2" type="noConversion"/>
  </si>
  <si>
    <t>其中：买入期权</t>
    <phoneticPr fontId="2" type="noConversion"/>
  </si>
  <si>
    <t xml:space="preserve">           卖出期权</t>
    <phoneticPr fontId="2" type="noConversion"/>
  </si>
  <si>
    <t>信用衍生品</t>
    <phoneticPr fontId="2" type="noConversion"/>
  </si>
  <si>
    <t>其中： 买入信用衍生品</t>
    <phoneticPr fontId="2" type="noConversion"/>
  </si>
  <si>
    <t xml:space="preserve">            卖出信用衍生品</t>
    <phoneticPr fontId="2" type="noConversion"/>
  </si>
  <si>
    <t>20%/60%</t>
    <phoneticPr fontId="2" type="noConversion"/>
  </si>
  <si>
    <t>（3）已对冲风险的权益类证券及其衍生品</t>
    <phoneticPr fontId="2" type="noConversion"/>
  </si>
  <si>
    <t>权益类证券</t>
    <phoneticPr fontId="2" type="noConversion"/>
  </si>
  <si>
    <t>权益类衍生品</t>
    <phoneticPr fontId="2" type="noConversion"/>
  </si>
  <si>
    <t>（4）已对冲风险的非权益类证券及其衍生品</t>
    <phoneticPr fontId="2" type="noConversion"/>
  </si>
  <si>
    <t>非权益类证券</t>
    <phoneticPr fontId="2" type="noConversion"/>
  </si>
  <si>
    <t>非权益类衍生品</t>
    <phoneticPr fontId="2" type="noConversion"/>
  </si>
  <si>
    <t>2. 信用风险资本准备</t>
    <phoneticPr fontId="2" type="noConversion"/>
  </si>
  <si>
    <t>融资类业务</t>
    <phoneticPr fontId="2" type="noConversion"/>
  </si>
  <si>
    <t>其中： 场内股票质押业务</t>
    <phoneticPr fontId="2" type="noConversion"/>
  </si>
  <si>
    <t xml:space="preserve">        其中： 第一大股东高比例质押</t>
    <phoneticPr fontId="2" type="noConversion"/>
  </si>
  <si>
    <t xml:space="preserve">                    受限股股票质押</t>
    <phoneticPr fontId="2" type="noConversion"/>
  </si>
  <si>
    <t xml:space="preserve">                    非受限股股票质押</t>
    <phoneticPr fontId="2" type="noConversion"/>
  </si>
  <si>
    <t xml:space="preserve">                    低履约保障合约</t>
    <phoneticPr fontId="2" type="noConversion"/>
  </si>
  <si>
    <t xml:space="preserve">                    其他</t>
    <phoneticPr fontId="2" type="noConversion"/>
  </si>
  <si>
    <t xml:space="preserve">        其他场内融资业务</t>
    <phoneticPr fontId="2" type="noConversion"/>
  </si>
  <si>
    <t xml:space="preserve">        场外融资业务</t>
    <phoneticPr fontId="2" type="noConversion"/>
  </si>
  <si>
    <t>应收账款</t>
    <phoneticPr fontId="2" type="noConversion"/>
  </si>
  <si>
    <t>加倍计算</t>
    <phoneticPr fontId="2" type="noConversion"/>
  </si>
  <si>
    <t>其中： 账龄 1 年以内（ 含 1年）</t>
    <phoneticPr fontId="2" type="noConversion"/>
  </si>
  <si>
    <t xml:space="preserve">            账龄 1 年以上</t>
    <phoneticPr fontId="2" type="noConversion"/>
  </si>
  <si>
    <t xml:space="preserve">            应收股东及关联公司款项</t>
    <phoneticPr fontId="2" type="noConversion"/>
  </si>
  <si>
    <t>逆回购交易</t>
    <phoneticPr fontId="2" type="noConversion"/>
  </si>
  <si>
    <t>其中： 交易所债券质押式逆回购</t>
    <phoneticPr fontId="2" type="noConversion"/>
  </si>
  <si>
    <t xml:space="preserve">            其他逆回购交易</t>
    <phoneticPr fontId="2" type="noConversion"/>
  </si>
  <si>
    <t xml:space="preserve">           其中： 信用评级 AA级（ 含） 以下的债券逆回购交易</t>
    <phoneticPr fontId="2" type="noConversion"/>
  </si>
  <si>
    <t>3. 操作风险资本准备</t>
    <phoneticPr fontId="2" type="noConversion"/>
  </si>
  <si>
    <t>证券经纪业务净收入</t>
    <phoneticPr fontId="2" type="noConversion"/>
  </si>
  <si>
    <t>证券投资咨询业务净收入</t>
    <phoneticPr fontId="2" type="noConversion"/>
  </si>
  <si>
    <t>证券承销与保荐业务、 财务顾问业务净收入</t>
    <phoneticPr fontId="2" type="noConversion"/>
  </si>
  <si>
    <t>证券资产管理业务净收入</t>
    <phoneticPr fontId="2" type="noConversion"/>
  </si>
  <si>
    <t>证券自营业务净收入</t>
    <phoneticPr fontId="2" type="noConversion"/>
  </si>
  <si>
    <t>融资类业务净收入</t>
    <phoneticPr fontId="2" type="noConversion"/>
  </si>
  <si>
    <t>其他业务净收入</t>
    <phoneticPr fontId="2" type="noConversion"/>
  </si>
  <si>
    <t>4. 特定风险资本准备</t>
    <phoneticPr fontId="2" type="noConversion"/>
  </si>
  <si>
    <t>证券公司资产管理业务</t>
    <phoneticPr fontId="2" type="noConversion"/>
  </si>
  <si>
    <t>单一资管计划</t>
    <phoneticPr fontId="2" type="noConversion"/>
  </si>
  <si>
    <t>其中： 投资标准化资产</t>
    <phoneticPr fontId="2" type="noConversion"/>
  </si>
  <si>
    <t xml:space="preserve">            投资股票质押</t>
    <phoneticPr fontId="2" type="noConversion"/>
  </si>
  <si>
    <t xml:space="preserve">            其中： 低履约保障合约</t>
    <phoneticPr fontId="2" type="noConversion"/>
  </si>
  <si>
    <t xml:space="preserve">            投资其他非标资产</t>
    <phoneticPr fontId="2" type="noConversion"/>
  </si>
  <si>
    <t xml:space="preserve">            高杠杆、 高集中度产品</t>
    <phoneticPr fontId="2" type="noConversion"/>
  </si>
  <si>
    <t>集合资管计划</t>
    <phoneticPr fontId="2" type="noConversion"/>
  </si>
  <si>
    <t>非标私募投资基金服务</t>
    <phoneticPr fontId="2" type="noConversion"/>
  </si>
  <si>
    <t>资产支持证券管理业务</t>
    <phoneticPr fontId="2" type="noConversion"/>
  </si>
  <si>
    <t>其中： 非标私募投资基金托管业务</t>
    <phoneticPr fontId="2" type="noConversion"/>
  </si>
  <si>
    <t xml:space="preserve">            非标私募投资基金代销业务</t>
    <phoneticPr fontId="2" type="noConversion"/>
  </si>
  <si>
    <t>其中： 场内资产支持证券</t>
    <phoneticPr fontId="2" type="noConversion"/>
  </si>
  <si>
    <t xml:space="preserve">            场外资产支持证券</t>
    <phoneticPr fontId="2" type="noConversion"/>
  </si>
  <si>
    <t>债券质押式正回购结算业务</t>
    <phoneticPr fontId="2" type="noConversion"/>
  </si>
  <si>
    <t>5. 中国证监会认可的调整事项</t>
    <phoneticPr fontId="2" type="noConversion"/>
  </si>
  <si>
    <t>分类调整前的各项风险资本准备合计</t>
    <phoneticPr fontId="2" type="noConversion"/>
  </si>
  <si>
    <t>分类调整后的各项风险资本准备合计</t>
    <phoneticPr fontId="2" type="noConversion"/>
  </si>
  <si>
    <t>附： 其他需要特别说明的事项</t>
    <phoneticPr fontId="2" type="noConversion"/>
  </si>
  <si>
    <t>证券公司风险资本准备计算表</t>
    <phoneticPr fontId="2" type="noConversion"/>
  </si>
  <si>
    <t>↓</t>
    <phoneticPr fontId="2" type="noConversion"/>
  </si>
  <si>
    <t>↑</t>
    <phoneticPr fontId="2" type="noConversion"/>
  </si>
  <si>
    <t>SPV申购</t>
    <phoneticPr fontId="2" type="noConversion"/>
  </si>
  <si>
    <t>1.互换名义本金（亿元）</t>
    <phoneticPr fontId="2" type="noConversion"/>
  </si>
  <si>
    <t>2.净出资（亿元）</t>
    <phoneticPr fontId="2" type="noConversion"/>
  </si>
  <si>
    <t>出资规模：</t>
    <phoneticPr fontId="2" type="noConversion"/>
  </si>
  <si>
    <t>回款规模：</t>
    <phoneticPr fontId="2" type="noConversion"/>
  </si>
  <si>
    <t>净资本/风险资本准备影响</t>
    <phoneticPr fontId="2" type="noConversion"/>
  </si>
  <si>
    <t xml:space="preserve">    信用评级 AAA 级以下，AA 级(不含）以上的信用债券</t>
  </si>
  <si>
    <t xml:space="preserve">    信用评级 AA 级以下，BBB 级(不含）以上的信用债券</t>
  </si>
  <si>
    <t xml:space="preserve">      到期日在 1 年以内(不含）的融出资金</t>
  </si>
  <si>
    <t>信用评级 AAA 级以下，AA+级(不含）以上的信用债券</t>
  </si>
  <si>
    <t xml:space="preserve">           信用评级 AAA 级以下，AA+级(不含）以上的信用债券</t>
  </si>
  <si>
    <t>30 日内到期的信用评级 AA 级以下(不含）的信用债券</t>
  </si>
  <si>
    <t>不涉及净资本</t>
    <phoneticPr fontId="2" type="noConversion"/>
  </si>
  <si>
    <t>股指期货+互换</t>
    <phoneticPr fontId="2" type="noConversion"/>
  </si>
  <si>
    <t>2.流动性覆盖率(LCR)  影响</t>
    <phoneticPr fontId="2" type="noConversion"/>
  </si>
  <si>
    <t>3.净稳定资金率(NSFR)  影响</t>
    <phoneticPr fontId="2" type="noConversion"/>
  </si>
  <si>
    <t>指标方面：</t>
    <phoneticPr fontId="2" type="noConversion"/>
  </si>
  <si>
    <t>(√)不包含SPV融ETF
判定为已对冲情形</t>
    <phoneticPr fontId="2" type="noConversion"/>
  </si>
  <si>
    <t>变化幅度</t>
    <phoneticPr fontId="2" type="noConversion"/>
  </si>
  <si>
    <t>备注</t>
    <phoneticPr fontId="2" type="noConversion"/>
  </si>
  <si>
    <t>需&gt;160%</t>
    <phoneticPr fontId="2" type="noConversion"/>
  </si>
  <si>
    <t>需≥120%</t>
    <phoneticPr fontId="2" type="noConversion"/>
  </si>
  <si>
    <t>1.净资本/风险资本准备（风险覆盖率）   影响</t>
    <phoneticPr fontId="2" type="noConversion"/>
  </si>
  <si>
    <t>业务开展后值</t>
    <phoneticPr fontId="2" type="noConversion"/>
  </si>
  <si>
    <t>算全额，浮动盈亏假设客户浮盈20%吧</t>
    <phoneticPr fontId="2" type="noConversion"/>
  </si>
  <si>
    <t>160以上保证</t>
    <phoneticPr fontId="2" type="noConversion"/>
  </si>
  <si>
    <t>注：股指期货、 权益互换、 国债期货、 债券远期、 利率互换（ 包括以债券、 固定收益类结构化票据、债券类指数、 债券类基金等固定收益类资产为基础标的的收益互换） 、 外汇衍生品、 大宗商品衍生品（ 不含商品期权） 投资规模分别按照合约名义价值总额的 15%、 10%、 5%、 50%、 3%、 3%和 10%计算。</t>
    <phoneticPr fontId="2" type="noConversion"/>
  </si>
  <si>
    <t>注：一级、 二级交易商卖出信用衍生品的， 分别按照合约名义价值总额的 20%、 60%计
算市场风险资本准备。</t>
    <phoneticPr fontId="2" type="noConversion"/>
  </si>
  <si>
    <t>融券互换测算</t>
    <phoneticPr fontId="2" type="noConversion"/>
  </si>
  <si>
    <t>融券互换</t>
    <phoneticPr fontId="2" type="noConversion"/>
  </si>
  <si>
    <t>互换预付金（按25%估计）</t>
    <phoneticPr fontId="2" type="noConversion"/>
  </si>
  <si>
    <t>折算率为0，暂不考虑</t>
    <phoneticPr fontId="2" type="noConversion"/>
  </si>
  <si>
    <t>按照产品规模填列</t>
    <phoneticPr fontId="2" type="noConversion"/>
  </si>
  <si>
    <t>互换合约端</t>
    <phoneticPr fontId="2" type="noConversion"/>
  </si>
  <si>
    <t>比例</t>
    <phoneticPr fontId="2" type="noConversion"/>
  </si>
  <si>
    <t>按名本的70%出资估计</t>
    <phoneticPr fontId="2" type="noConversion"/>
  </si>
  <si>
    <t>互换收到的预付金</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</si>
</sst>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
    <numFmt numFmtId="177" formatCode="#,##0_ ;[Red]\-#,##0\ "/>
    <numFmt numFmtId="178" formatCode="#,##0.00_ ;[Red]\-#,##0.00\ "/>
    <numFmt numFmtId="179" formatCode="#,##0.000000_ ;[Red]\-#,##0.000000\ "/>
    <numFmt numFmtId="180" formatCode="0.0"/>
  </numFmts>
  <fonts count="13" x14ac:knownFonts="1">
    <font>
      <sz val="11"/>
      <color theme="1"/>
      <name val="等线"/>
      <family val="2"/>
      <scheme val="minor"/>
    </font>
    <font>
      <sz val="11"/>
      <color theme="1"/>
      <name val="等线"/>
      <family val="2"/>
      <scheme val="minor"/>
    </font>
    <font>
      <sz val="9"/>
      <name val="等线"/>
      <family val="3"/>
      <charset val="134"/>
      <scheme val="minor"/>
    </font>
    <font>
      <b/>
      <sz val="11"/>
      <color theme="1"/>
      <name val="等线"/>
      <family val="3"/>
      <charset val="134"/>
      <scheme val="minor"/>
    </font>
    <font>
      <b/>
      <sz val="20"/>
      <color theme="1"/>
      <name val="等线"/>
      <family val="3"/>
      <charset val="134"/>
      <scheme val="minor"/>
    </font>
    <font>
      <b/>
      <sz val="14"/>
      <color theme="0"/>
      <name val="等线"/>
      <family val="3"/>
      <charset val="134"/>
      <scheme val="minor"/>
    </font>
    <font>
      <b/>
      <sz val="9"/>
      <color indexed="81"/>
      <name val="宋体"/>
      <family val="3"/>
      <charset val="134"/>
    </font>
    <font>
      <b/>
      <sz val="11"/>
      <color rgb="FFC00000"/>
      <name val="等线"/>
      <family val="3"/>
      <charset val="134"/>
      <scheme val="minor"/>
    </font>
    <font>
      <b/>
      <sz val="16"/>
      <color theme="0"/>
      <name val="等线"/>
      <family val="3"/>
      <charset val="134"/>
      <scheme val="minor"/>
    </font>
    <font>
      <sz val="16"/>
      <color theme="1"/>
      <name val="等线"/>
      <family val="3"/>
      <charset val="134"/>
      <scheme val="minor"/>
    </font>
    <font>
      <sz val="11"/>
      <color theme="1"/>
      <name val="等线"/>
      <family val="3"/>
      <charset val="134"/>
      <scheme val="minor"/>
    </font>
    <font>
      <b/>
      <sz val="14"/>
      <color theme="1"/>
      <name val="等线"/>
      <family val="3"/>
      <charset val="134"/>
      <scheme val="minor"/>
    </font>
    <font>
      <b/>
      <sz val="12"/>
      <color rgb="FFC00000"/>
      <name val="等线"/>
      <family val="3"/>
      <charset val="134"/>
      <scheme val="minor"/>
    </font>
  </fonts>
  <fills count="6">
    <fill>
      <patternFill patternType="none"/>
    </fill>
    <fill>
      <patternFill patternType="gray125"/>
    </fill>
    <fill>
      <patternFill patternType="solid">
        <fgColor theme="7" tint="0.79998168889431442"/>
        <bgColor indexed="64"/>
      </patternFill>
    </fill>
    <fill>
      <patternFill patternType="solid">
        <fgColor theme="5" tint="0.59999389629810485"/>
        <bgColor indexed="64"/>
      </patternFill>
    </fill>
    <fill>
      <patternFill patternType="solid">
        <fgColor rgb="FFC00000"/>
        <bgColor indexed="64"/>
      </patternFill>
    </fill>
    <fill>
      <patternFill patternType="solid">
        <fgColor theme="5"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bottom/>
      <diagonal/>
    </border>
  </borders>
  <cellStyleXfs count="2">
    <xf numFmtId="0" fontId="0" fillId="0" borderId="0"/>
    <xf numFmtId="9" fontId="1" fillId="0" borderId="0" applyFont="0" applyFill="0" applyBorder="0" applyAlignment="0" applyProtection="0">
      <alignment vertical="center"/>
    </xf>
  </cellStyleXfs>
  <cellXfs count="106">
    <xf numFmtId="0" fontId="0" fillId="0" borderId="0" xfId="0"/>
    <xf numFmtId="0" fontId="0" fillId="0" borderId="0" xfId="0" applyProtection="1">
      <protection locked="0"/>
    </xf>
    <xf numFmtId="0" fontId="0" fillId="0" borderId="0" xfId="0" applyAlignment="1" applyProtection="1">
      <alignment horizontal="right"/>
      <protection locked="0"/>
    </xf>
    <xf numFmtId="0" fontId="0" fillId="0" borderId="0" xfId="0" applyAlignment="1" applyProtection="1">
      <alignment horizontal="center"/>
      <protection locked="0"/>
    </xf>
    <xf numFmtId="0" fontId="3" fillId="3" borderId="0" xfId="0" applyFont="1" applyFill="1" applyProtection="1">
      <protection locked="0"/>
    </xf>
    <xf numFmtId="0" fontId="3" fillId="3" borderId="0" xfId="0" applyFont="1" applyFill="1" applyAlignment="1" applyProtection="1">
      <alignment horizontal="center"/>
    </xf>
    <xf numFmtId="0" fontId="3" fillId="3" borderId="0" xfId="0" applyFont="1" applyFill="1" applyProtection="1"/>
    <xf numFmtId="0" fontId="0" fillId="3" borderId="0" xfId="0" applyFill="1" applyProtection="1"/>
    <xf numFmtId="0" fontId="0" fillId="0" borderId="0" xfId="0" applyAlignment="1" applyProtection="1">
      <alignment horizontal="right"/>
    </xf>
    <xf numFmtId="0" fontId="0" fillId="0" borderId="0" xfId="0" applyProtection="1"/>
    <xf numFmtId="0" fontId="0" fillId="0" borderId="0" xfId="0" applyAlignment="1" applyProtection="1">
      <alignment horizontal="center"/>
    </xf>
    <xf numFmtId="0" fontId="0" fillId="2" borderId="0" xfId="0" applyFill="1" applyProtection="1"/>
    <xf numFmtId="0" fontId="0" fillId="2" borderId="0" xfId="0" applyFill="1" applyAlignment="1" applyProtection="1">
      <alignment horizontal="center"/>
    </xf>
    <xf numFmtId="9" fontId="0" fillId="0" borderId="0" xfId="0" applyNumberFormat="1" applyProtection="1"/>
    <xf numFmtId="9" fontId="0" fillId="2" borderId="0" xfId="0" applyNumberFormat="1" applyFill="1" applyProtection="1"/>
    <xf numFmtId="9" fontId="3" fillId="3" borderId="0" xfId="0" applyNumberFormat="1" applyFont="1" applyFill="1" applyProtection="1"/>
    <xf numFmtId="176" fontId="0" fillId="0" borderId="0" xfId="0" applyNumberFormat="1" applyProtection="1"/>
    <xf numFmtId="176" fontId="0" fillId="2" borderId="0" xfId="0" applyNumberFormat="1" applyFill="1" applyProtection="1"/>
    <xf numFmtId="9" fontId="0" fillId="0" borderId="0" xfId="0" applyNumberFormat="1" applyAlignment="1" applyProtection="1">
      <alignment horizontal="center"/>
    </xf>
    <xf numFmtId="0" fontId="0" fillId="0" borderId="0" xfId="0" applyAlignment="1" applyProtection="1">
      <alignment wrapText="1"/>
    </xf>
    <xf numFmtId="0" fontId="0" fillId="0" borderId="0" xfId="0" applyAlignment="1" applyProtection="1">
      <alignment horizontal="center" vertical="center"/>
    </xf>
    <xf numFmtId="9" fontId="0" fillId="0" borderId="0" xfId="0" applyNumberFormat="1" applyAlignment="1" applyProtection="1">
      <alignment vertical="center"/>
    </xf>
    <xf numFmtId="0" fontId="5" fillId="4" borderId="0" xfId="0" applyFont="1" applyFill="1" applyProtection="1"/>
    <xf numFmtId="0" fontId="5" fillId="4" borderId="0" xfId="0" applyFont="1" applyFill="1" applyAlignment="1" applyProtection="1">
      <alignment horizontal="center"/>
    </xf>
    <xf numFmtId="9" fontId="5" fillId="4" borderId="0" xfId="0" applyNumberFormat="1" applyFont="1" applyFill="1" applyProtection="1"/>
    <xf numFmtId="0" fontId="3" fillId="0" borderId="0" xfId="0" applyFont="1" applyProtection="1"/>
    <xf numFmtId="0" fontId="3" fillId="2" borderId="0" xfId="0" applyFont="1" applyFill="1" applyProtection="1"/>
    <xf numFmtId="178" fontId="0" fillId="0" borderId="0" xfId="0" applyNumberFormat="1"/>
    <xf numFmtId="0" fontId="3" fillId="3" borderId="0" xfId="0" applyFont="1" applyFill="1"/>
    <xf numFmtId="0" fontId="0" fillId="3" borderId="0" xfId="0" applyFill="1" applyAlignment="1"/>
    <xf numFmtId="0" fontId="0" fillId="3" borderId="0" xfId="0" applyFill="1" applyAlignment="1">
      <alignment horizontal="center"/>
    </xf>
    <xf numFmtId="0" fontId="0" fillId="2" borderId="0" xfId="0" applyFill="1"/>
    <xf numFmtId="0" fontId="0" fillId="2" borderId="0" xfId="0" applyFill="1" applyAlignment="1">
      <alignment horizontal="center"/>
    </xf>
    <xf numFmtId="0" fontId="0" fillId="0" borderId="0" xfId="0" applyAlignment="1">
      <alignment horizontal="center"/>
    </xf>
    <xf numFmtId="9" fontId="0" fillId="0" borderId="0" xfId="0" applyNumberFormat="1"/>
    <xf numFmtId="9" fontId="0" fillId="2" borderId="0" xfId="0" applyNumberFormat="1" applyFill="1"/>
    <xf numFmtId="0" fontId="0" fillId="3" borderId="0" xfId="0" applyFill="1"/>
    <xf numFmtId="178" fontId="0" fillId="0" borderId="0" xfId="0" applyNumberFormat="1" applyProtection="1"/>
    <xf numFmtId="178" fontId="3" fillId="3" borderId="0" xfId="0" applyNumberFormat="1" applyFont="1" applyFill="1" applyAlignment="1" applyProtection="1">
      <alignment horizontal="center"/>
    </xf>
    <xf numFmtId="178" fontId="3" fillId="3" borderId="0" xfId="0" applyNumberFormat="1" applyFont="1" applyFill="1" applyProtection="1"/>
    <xf numFmtId="178" fontId="0" fillId="0" borderId="0" xfId="0" applyNumberFormat="1" applyProtection="1">
      <protection locked="0"/>
    </xf>
    <xf numFmtId="178" fontId="0" fillId="2" borderId="0" xfId="0" applyNumberFormat="1" applyFill="1" applyProtection="1">
      <protection locked="0"/>
    </xf>
    <xf numFmtId="178" fontId="5" fillId="4" borderId="0" xfId="1" applyNumberFormat="1" applyFont="1" applyFill="1" applyAlignment="1" applyProtection="1"/>
    <xf numFmtId="178" fontId="0" fillId="0" borderId="0" xfId="0" applyNumberFormat="1" applyAlignment="1" applyProtection="1">
      <alignment horizontal="center"/>
    </xf>
    <xf numFmtId="178" fontId="0" fillId="2" borderId="0" xfId="0" applyNumberFormat="1" applyFill="1" applyProtection="1"/>
    <xf numFmtId="178" fontId="0" fillId="3" borderId="0" xfId="0" applyNumberFormat="1" applyFill="1" applyProtection="1"/>
    <xf numFmtId="178" fontId="5" fillId="4" borderId="0" xfId="0" applyNumberFormat="1" applyFont="1" applyFill="1" applyProtection="1"/>
    <xf numFmtId="178" fontId="0" fillId="2" borderId="0" xfId="0" applyNumberFormat="1" applyFill="1"/>
    <xf numFmtId="178" fontId="5" fillId="4" borderId="0" xfId="1" applyNumberFormat="1" applyFont="1" applyFill="1" applyAlignment="1" applyProtection="1">
      <protection locked="0"/>
    </xf>
    <xf numFmtId="178" fontId="3" fillId="3" borderId="0" xfId="0" applyNumberFormat="1" applyFont="1" applyFill="1" applyAlignment="1" applyProtection="1">
      <alignment horizontal="center"/>
      <protection locked="0"/>
    </xf>
    <xf numFmtId="178" fontId="0" fillId="0" borderId="0" xfId="0" applyNumberFormat="1" applyAlignment="1" applyProtection="1">
      <alignment vertical="center"/>
      <protection locked="0"/>
    </xf>
    <xf numFmtId="178" fontId="0" fillId="0" borderId="0" xfId="0" applyNumberFormat="1" applyAlignment="1" applyProtection="1">
      <alignment vertical="center"/>
    </xf>
    <xf numFmtId="10" fontId="0" fillId="0" borderId="0" xfId="1" applyNumberFormat="1" applyFont="1" applyAlignment="1" applyProtection="1">
      <protection locked="0"/>
    </xf>
    <xf numFmtId="0" fontId="7" fillId="0" borderId="0" xfId="0" applyFont="1" applyAlignment="1" applyProtection="1">
      <alignment horizontal="center"/>
      <protection locked="0"/>
    </xf>
    <xf numFmtId="178" fontId="0" fillId="3" borderId="0" xfId="0" applyNumberFormat="1" applyFill="1" applyAlignment="1"/>
    <xf numFmtId="178" fontId="0" fillId="3" borderId="0" xfId="0" applyNumberFormat="1" applyFill="1"/>
    <xf numFmtId="178" fontId="3" fillId="3" borderId="0" xfId="0" applyNumberFormat="1" applyFont="1" applyFill="1"/>
    <xf numFmtId="0" fontId="0" fillId="0" borderId="0" xfId="0" applyAlignment="1">
      <alignment wrapText="1"/>
    </xf>
    <xf numFmtId="0" fontId="0" fillId="0" borderId="0" xfId="0" applyAlignment="1">
      <alignment horizontal="right"/>
    </xf>
    <xf numFmtId="0" fontId="0" fillId="0" borderId="0" xfId="0" applyAlignment="1">
      <alignment horizontal="right" wrapText="1"/>
    </xf>
    <xf numFmtId="10" fontId="0" fillId="0" borderId="0" xfId="0" applyNumberFormat="1"/>
    <xf numFmtId="0" fontId="3" fillId="0" borderId="0" xfId="0" applyFont="1"/>
    <xf numFmtId="0" fontId="3" fillId="5" borderId="0" xfId="0" applyFont="1" applyFill="1"/>
    <xf numFmtId="0" fontId="0" fillId="5" borderId="0" xfId="0" applyFill="1"/>
    <xf numFmtId="10" fontId="0" fillId="0" borderId="0" xfId="1" applyNumberFormat="1" applyFont="1" applyAlignment="1"/>
    <xf numFmtId="0" fontId="7" fillId="0" borderId="0" xfId="0" applyFont="1" applyAlignment="1">
      <alignment horizontal="right"/>
    </xf>
    <xf numFmtId="0" fontId="0" fillId="2" borderId="0" xfId="0" applyFill="1" applyAlignment="1">
      <alignment wrapText="1"/>
    </xf>
    <xf numFmtId="0" fontId="0" fillId="2" borderId="0" xfId="0" applyFill="1" applyAlignment="1">
      <alignment horizontal="right" wrapText="1"/>
    </xf>
    <xf numFmtId="0" fontId="0" fillId="2" borderId="0" xfId="0" applyFill="1" applyAlignment="1">
      <alignment horizontal="right"/>
    </xf>
    <xf numFmtId="10" fontId="0" fillId="2" borderId="0" xfId="0" applyNumberFormat="1" applyFill="1"/>
    <xf numFmtId="0" fontId="8" fillId="4" borderId="0" xfId="0" applyFont="1" applyFill="1"/>
    <xf numFmtId="0" fontId="8" fillId="4" borderId="0" xfId="0" applyFont="1" applyFill="1" applyAlignment="1">
      <alignment wrapText="1"/>
    </xf>
    <xf numFmtId="0" fontId="9" fillId="0" borderId="0" xfId="0" applyFont="1"/>
    <xf numFmtId="178" fontId="3" fillId="5" borderId="0" xfId="0" applyNumberFormat="1" applyFont="1" applyFill="1"/>
    <xf numFmtId="178" fontId="8" fillId="4" borderId="0" xfId="0" applyNumberFormat="1" applyFont="1" applyFill="1"/>
    <xf numFmtId="2" fontId="8" fillId="4" borderId="0" xfId="0" applyNumberFormat="1" applyFont="1" applyFill="1"/>
    <xf numFmtId="0" fontId="10" fillId="0" borderId="0" xfId="0" applyFont="1" applyAlignment="1">
      <alignment horizontal="right"/>
    </xf>
    <xf numFmtId="178" fontId="0" fillId="5" borderId="0" xfId="0" applyNumberFormat="1" applyFill="1"/>
    <xf numFmtId="9" fontId="0" fillId="5" borderId="0" xfId="1" applyFont="1" applyFill="1" applyAlignment="1"/>
    <xf numFmtId="0" fontId="0" fillId="0" borderId="0" xfId="0" applyBorder="1"/>
    <xf numFmtId="0" fontId="11" fillId="0" borderId="0" xfId="0" applyFont="1" applyAlignment="1">
      <alignment horizontal="left"/>
    </xf>
    <xf numFmtId="179" fontId="0" fillId="0" borderId="0" xfId="0" applyNumberFormat="1"/>
    <xf numFmtId="0" fontId="3" fillId="5" borderId="2" xfId="0" applyFont="1" applyFill="1" applyBorder="1" applyAlignment="1">
      <alignment horizontal="center" wrapText="1"/>
    </xf>
    <xf numFmtId="178" fontId="3" fillId="5" borderId="2" xfId="0" applyNumberFormat="1" applyFont="1" applyFill="1" applyBorder="1"/>
    <xf numFmtId="178" fontId="10" fillId="0" borderId="2" xfId="0" applyNumberFormat="1" applyFont="1" applyBorder="1"/>
    <xf numFmtId="178" fontId="0" fillId="0" borderId="2" xfId="0" applyNumberFormat="1" applyBorder="1"/>
    <xf numFmtId="0" fontId="0" fillId="0" borderId="2" xfId="0" applyBorder="1"/>
    <xf numFmtId="177" fontId="0" fillId="0" borderId="0" xfId="0" applyNumberFormat="1" applyProtection="1">
      <protection locked="0"/>
    </xf>
    <xf numFmtId="0" fontId="3" fillId="0" borderId="0" xfId="0" applyFont="1" applyAlignment="1">
      <alignment horizontal="center"/>
    </xf>
    <xf numFmtId="178" fontId="3" fillId="0" borderId="2" xfId="0" applyNumberFormat="1" applyFont="1" applyBorder="1" applyAlignment="1">
      <alignment horizontal="center"/>
    </xf>
    <xf numFmtId="9" fontId="3" fillId="5" borderId="2" xfId="1" applyFont="1" applyFill="1" applyBorder="1" applyAlignment="1"/>
    <xf numFmtId="10" fontId="12" fillId="5" borderId="0" xfId="0" applyNumberFormat="1" applyFont="1" applyFill="1" applyAlignment="1">
      <alignment horizontal="right"/>
    </xf>
    <xf numFmtId="178" fontId="0" fillId="2" borderId="0" xfId="0" quotePrefix="1" applyNumberFormat="1" applyFill="1" applyProtection="1">
      <protection locked="0"/>
    </xf>
    <xf numFmtId="180" fontId="0" fillId="0" borderId="0" xfId="0" applyNumberFormat="1" applyProtection="1">
      <protection locked="0"/>
    </xf>
    <xf numFmtId="0" fontId="0" fillId="0" borderId="1" xfId="0" applyBorder="1" applyAlignment="1">
      <alignment horizontal="center" vertical="center"/>
    </xf>
    <xf numFmtId="0" fontId="0" fillId="0" borderId="1" xfId="0" applyBorder="1"/>
    <xf numFmtId="0" fontId="4" fillId="0" borderId="0" xfId="0" applyFont="1" applyAlignment="1">
      <alignment horizontal="center"/>
    </xf>
    <xf numFmtId="0" fontId="4" fillId="0" borderId="0" xfId="0" applyFont="1" applyAlignment="1" applyProtection="1">
      <alignment horizontal="center"/>
    </xf>
    <xf numFmtId="0" fontId="3" fillId="3" borderId="0" xfId="0" applyFont="1" applyFill="1" applyAlignment="1" applyProtection="1">
      <alignment horizontal="center"/>
    </xf>
    <xf numFmtId="0" fontId="3" fillId="3" borderId="0" xfId="0" applyFont="1" applyFill="1" applyAlignment="1">
      <alignment horizontal="center" vertical="center"/>
    </xf>
    <xf numFmtId="178" fontId="3" fillId="3" borderId="0" xfId="0" applyNumberFormat="1" applyFont="1" applyFill="1" applyAlignment="1">
      <alignment horizontal="center" vertical="center"/>
    </xf>
    <xf numFmtId="0" fontId="3" fillId="3" borderId="0" xfId="0" applyFont="1" applyFill="1" applyAlignment="1">
      <alignment horizontal="center"/>
    </xf>
    <xf numFmtId="0" fontId="0" fillId="0" borderId="0" xfId="0" applyAlignment="1">
      <alignment horizontal="left"/>
    </xf>
    <xf numFmtId="0" fontId="3" fillId="5" borderId="0" xfId="0" applyFont="1" applyFill="1" applyAlignment="1">
      <alignment horizontal="center"/>
    </xf>
    <xf numFmtId="0" fontId="3" fillId="5" borderId="0" xfId="0" applyFont="1" applyFill="1" applyAlignment="1">
      <alignment horizontal="center" vertical="center"/>
    </xf>
    <xf numFmtId="178" fontId="3" fillId="5" borderId="0" xfId="0" applyNumberFormat="1" applyFont="1" applyFill="1" applyAlignment="1">
      <alignment horizontal="center" vertical="center"/>
    </xf>
  </cellXfs>
  <cellStyles count="2">
    <cellStyle name="百分比" xfId="1" builtinId="5"/>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B01B-1CEA-49F6-9BA6-AAEEA1CC57C1}">
  <sheetPr codeName="Sheet1">
    <pageSetUpPr fitToPage="1"/>
  </sheetPr>
  <dimension ref="A1:F15"/>
  <sheetViews>
    <sheetView tabSelected="1" zoomScaleNormal="100" workbookViewId="0">
      <selection activeCell="E21" sqref="E21"/>
    </sheetView>
  </sheetViews>
  <sheetFormatPr defaultRowHeight="14.25" x14ac:dyDescent="0.2"/>
  <cols>
    <col min="1" max="1" width="39.75" customWidth="1"/>
    <col min="2" max="2" width="28.625" customWidth="1"/>
    <col min="3" max="3" width="7.625" customWidth="1"/>
    <col min="4" max="4" width="19.625" customWidth="1"/>
    <col min="5" max="5" width="89.375" customWidth="1"/>
    <col min="6" max="6" width="11.625" bestFit="1" customWidth="1"/>
    <col min="7" max="7" width="13" bestFit="1" customWidth="1"/>
  </cols>
  <sheetData>
    <row r="1" spans="1:6" ht="25.5" x14ac:dyDescent="0.35">
      <c r="A1" s="96" t="s">
        <v>304</v>
      </c>
      <c r="B1" s="96"/>
      <c r="C1" s="96"/>
      <c r="D1" s="96"/>
    </row>
    <row r="2" spans="1:6" ht="29.25" customHeight="1" x14ac:dyDescent="0.2">
      <c r="A2" s="79"/>
      <c r="C2" s="88" t="s">
        <v>310</v>
      </c>
      <c r="D2" s="82" t="s">
        <v>293</v>
      </c>
      <c r="E2" s="94" t="s">
        <v>295</v>
      </c>
    </row>
    <row r="3" spans="1:6" x14ac:dyDescent="0.2">
      <c r="A3" s="62" t="s">
        <v>277</v>
      </c>
      <c r="B3" s="62"/>
      <c r="C3" s="62"/>
      <c r="D3" s="83">
        <f>SUM(D4)</f>
        <v>20</v>
      </c>
      <c r="E3" s="95"/>
    </row>
    <row r="4" spans="1:6" x14ac:dyDescent="0.2">
      <c r="A4" s="58" t="s">
        <v>6</v>
      </c>
      <c r="B4" t="s">
        <v>305</v>
      </c>
      <c r="D4" s="84">
        <v>20</v>
      </c>
      <c r="E4" s="95"/>
    </row>
    <row r="5" spans="1:6" x14ac:dyDescent="0.2">
      <c r="A5" s="62" t="s">
        <v>278</v>
      </c>
      <c r="B5" s="62"/>
      <c r="C5" s="62"/>
      <c r="D5" s="83">
        <f>D6-D8</f>
        <v>9</v>
      </c>
      <c r="E5" s="95"/>
    </row>
    <row r="6" spans="1:6" x14ac:dyDescent="0.2">
      <c r="A6" s="76" t="s">
        <v>279</v>
      </c>
      <c r="B6" s="61"/>
      <c r="C6" s="61"/>
      <c r="D6" s="84">
        <f>D7</f>
        <v>14</v>
      </c>
      <c r="E6" s="95"/>
    </row>
    <row r="7" spans="1:6" x14ac:dyDescent="0.2">
      <c r="A7" s="58" t="s">
        <v>6</v>
      </c>
      <c r="B7" t="s">
        <v>276</v>
      </c>
      <c r="C7" s="34">
        <v>0.7</v>
      </c>
      <c r="D7" s="85">
        <f>D4*C7</f>
        <v>14</v>
      </c>
      <c r="E7" s="95" t="s">
        <v>311</v>
      </c>
    </row>
    <row r="8" spans="1:6" x14ac:dyDescent="0.2">
      <c r="A8" s="58" t="s">
        <v>280</v>
      </c>
      <c r="D8" s="85">
        <f>SUM(D9)</f>
        <v>5</v>
      </c>
      <c r="E8" s="95"/>
    </row>
    <row r="9" spans="1:6" x14ac:dyDescent="0.2">
      <c r="A9" s="58" t="s">
        <v>6</v>
      </c>
      <c r="B9" t="s">
        <v>306</v>
      </c>
      <c r="C9" s="34">
        <v>0.25</v>
      </c>
      <c r="D9" s="85">
        <f>D4*C9</f>
        <v>5</v>
      </c>
      <c r="E9" s="95"/>
    </row>
    <row r="10" spans="1:6" x14ac:dyDescent="0.2">
      <c r="A10" s="58"/>
      <c r="D10" s="85"/>
      <c r="E10" s="95"/>
      <c r="F10" s="81"/>
    </row>
    <row r="11" spans="1:6" ht="18" x14ac:dyDescent="0.25">
      <c r="A11" s="80" t="s">
        <v>292</v>
      </c>
      <c r="B11" s="88" t="s">
        <v>294</v>
      </c>
      <c r="C11" s="88"/>
      <c r="D11" s="89" t="s">
        <v>299</v>
      </c>
      <c r="E11" s="95"/>
    </row>
    <row r="12" spans="1:6" ht="15.75" x14ac:dyDescent="0.25">
      <c r="A12" s="62" t="s">
        <v>298</v>
      </c>
      <c r="B12" s="91">
        <f>'1.2净资本(不含ETF空头)'!$H$32</f>
        <v>-6.0150375939849621E-2</v>
      </c>
      <c r="C12" s="91"/>
      <c r="D12" s="90">
        <f>'1.2净资本(不含ETF空头)'!$H$31</f>
        <v>1.6760841292420239</v>
      </c>
      <c r="E12" s="95" t="s">
        <v>296</v>
      </c>
    </row>
    <row r="13" spans="1:6" ht="15.75" x14ac:dyDescent="0.25">
      <c r="A13" s="62" t="s">
        <v>290</v>
      </c>
      <c r="B13" s="91">
        <f>'1.4LCR(不含ETF空头)'!$D$75</f>
        <v>-0.1203039395735428</v>
      </c>
      <c r="C13" s="91"/>
      <c r="D13" s="90">
        <f>'1.4LCR(不含ETF空头)'!$D$74</f>
        <v>1.310225510082329</v>
      </c>
      <c r="E13" s="95" t="s">
        <v>297</v>
      </c>
    </row>
    <row r="14" spans="1:6" ht="15.75" x14ac:dyDescent="0.25">
      <c r="A14" s="62" t="s">
        <v>291</v>
      </c>
      <c r="B14" s="91">
        <f>'1.1NSFR(不含ETF空头)'!$D$78</f>
        <v>-6.1567811307665643E-2</v>
      </c>
      <c r="C14" s="91"/>
      <c r="D14" s="90">
        <f>'1.1NSFR(不含ETF空头)'!$D$77</f>
        <v>1.3237946583420048</v>
      </c>
      <c r="E14" s="95" t="s">
        <v>297</v>
      </c>
    </row>
    <row r="15" spans="1:6" x14ac:dyDescent="0.2">
      <c r="D15" s="86"/>
      <c r="E15" s="95"/>
    </row>
  </sheetData>
  <mergeCells count="1">
    <mergeCell ref="A1:D1"/>
  </mergeCells>
  <phoneticPr fontId="2" type="noConversion"/>
  <pageMargins left="0.7" right="0.7" top="0.75" bottom="0.75" header="0.3" footer="0.3"/>
  <pageSetup paperSize="9" scale="81" fitToHeight="0" orientation="landscape" r:id="rId1"/>
  <colBreaks count="1" manualBreakCount="1">
    <brk id="5" max="49"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E3E52-101A-452D-8A0A-60D9C3353441}">
  <sheetPr codeName="Sheet5">
    <pageSetUpPr fitToPage="1"/>
  </sheetPr>
  <dimension ref="A1:G78"/>
  <sheetViews>
    <sheetView zoomScaleNormal="100" workbookViewId="0">
      <selection activeCell="H21" sqref="H21"/>
    </sheetView>
  </sheetViews>
  <sheetFormatPr defaultColWidth="9" defaultRowHeight="14.25" x14ac:dyDescent="0.2"/>
  <cols>
    <col min="1" max="1" width="9" style="1"/>
    <col min="2" max="2" width="61.875" style="1" customWidth="1"/>
    <col min="3" max="3" width="9" style="1"/>
    <col min="4" max="4" width="14.625" style="40" bestFit="1" customWidth="1"/>
    <col min="5" max="5" width="9" style="1"/>
    <col min="6" max="6" width="9" style="40"/>
    <col min="7" max="16384" width="9" style="1"/>
  </cols>
  <sheetData>
    <row r="1" spans="1:7" ht="25.5" x14ac:dyDescent="0.35">
      <c r="A1" s="97" t="s">
        <v>73</v>
      </c>
      <c r="B1" s="97"/>
      <c r="C1" s="97"/>
      <c r="D1" s="97"/>
      <c r="E1" s="97"/>
      <c r="F1" s="97"/>
    </row>
    <row r="2" spans="1:7" x14ac:dyDescent="0.2">
      <c r="A2" s="8"/>
      <c r="B2" s="9"/>
      <c r="C2" s="10"/>
      <c r="D2" s="37"/>
      <c r="E2" s="18" t="s">
        <v>71</v>
      </c>
      <c r="F2" s="43" t="s">
        <v>136</v>
      </c>
    </row>
    <row r="3" spans="1:7" x14ac:dyDescent="0.2">
      <c r="A3" s="98" t="s">
        <v>0</v>
      </c>
      <c r="B3" s="98"/>
      <c r="C3" s="5" t="s">
        <v>1</v>
      </c>
      <c r="D3" s="38" t="s">
        <v>2</v>
      </c>
      <c r="E3" s="5" t="s">
        <v>3</v>
      </c>
      <c r="F3" s="38" t="s">
        <v>4</v>
      </c>
      <c r="G3" s="5" t="s">
        <v>72</v>
      </c>
    </row>
    <row r="4" spans="1:7" x14ac:dyDescent="0.2">
      <c r="A4" s="6" t="s">
        <v>74</v>
      </c>
      <c r="B4" s="6"/>
      <c r="C4" s="5">
        <v>1</v>
      </c>
      <c r="D4" s="39">
        <f>SUM(F5,F7:F12)+G4</f>
        <v>305.32</v>
      </c>
      <c r="E4" s="6"/>
      <c r="F4" s="39"/>
      <c r="G4" s="4">
        <v>305.32</v>
      </c>
    </row>
    <row r="5" spans="1:7" x14ac:dyDescent="0.2">
      <c r="A5" s="8" t="s">
        <v>6</v>
      </c>
      <c r="B5" s="25" t="s">
        <v>75</v>
      </c>
      <c r="C5" s="10">
        <v>2</v>
      </c>
      <c r="E5" s="13">
        <v>1</v>
      </c>
      <c r="F5" s="37">
        <f>D5*E5</f>
        <v>0</v>
      </c>
      <c r="G5" s="1" t="s">
        <v>288</v>
      </c>
    </row>
    <row r="6" spans="1:7" x14ac:dyDescent="0.2">
      <c r="A6" s="11"/>
      <c r="B6" s="26" t="s">
        <v>76</v>
      </c>
      <c r="C6" s="12">
        <v>3</v>
      </c>
      <c r="D6" s="41"/>
      <c r="E6" s="14"/>
      <c r="F6" s="44"/>
    </row>
    <row r="7" spans="1:7" x14ac:dyDescent="0.2">
      <c r="A7" s="9"/>
      <c r="B7" s="9" t="s">
        <v>77</v>
      </c>
      <c r="C7" s="10">
        <v>4</v>
      </c>
      <c r="E7" s="13">
        <v>1</v>
      </c>
      <c r="F7" s="37">
        <f t="shared" ref="F7:F11" si="0">D7*E7</f>
        <v>0</v>
      </c>
    </row>
    <row r="8" spans="1:7" x14ac:dyDescent="0.2">
      <c r="A8" s="11"/>
      <c r="B8" s="11" t="s">
        <v>78</v>
      </c>
      <c r="C8" s="12">
        <v>5</v>
      </c>
      <c r="D8" s="41"/>
      <c r="E8" s="14">
        <v>1</v>
      </c>
      <c r="F8" s="44">
        <f>D8*E8</f>
        <v>0</v>
      </c>
      <c r="G8" s="1" t="s">
        <v>169</v>
      </c>
    </row>
    <row r="9" spans="1:7" x14ac:dyDescent="0.2">
      <c r="A9" s="9"/>
      <c r="B9" s="9" t="s">
        <v>79</v>
      </c>
      <c r="C9" s="10">
        <v>6</v>
      </c>
      <c r="E9" s="13">
        <v>1</v>
      </c>
      <c r="F9" s="37">
        <f t="shared" si="0"/>
        <v>0</v>
      </c>
    </row>
    <row r="10" spans="1:7" x14ac:dyDescent="0.2">
      <c r="A10" s="11"/>
      <c r="B10" s="11" t="s">
        <v>80</v>
      </c>
      <c r="C10" s="12">
        <v>7</v>
      </c>
      <c r="D10" s="41"/>
      <c r="E10" s="14">
        <v>1</v>
      </c>
      <c r="F10" s="44">
        <f>D10*E10</f>
        <v>0</v>
      </c>
    </row>
    <row r="11" spans="1:7" x14ac:dyDescent="0.2">
      <c r="A11" s="9"/>
      <c r="B11" s="25" t="s">
        <v>81</v>
      </c>
      <c r="C11" s="10">
        <v>8</v>
      </c>
      <c r="D11" s="40">
        <f>汇总情况!$D$9</f>
        <v>5</v>
      </c>
      <c r="E11" s="13">
        <v>0</v>
      </c>
      <c r="F11" s="37">
        <f t="shared" si="0"/>
        <v>0</v>
      </c>
      <c r="G11" s="1" t="s">
        <v>312</v>
      </c>
    </row>
    <row r="12" spans="1:7" x14ac:dyDescent="0.2">
      <c r="A12" s="11"/>
      <c r="B12" s="26" t="s">
        <v>82</v>
      </c>
      <c r="C12" s="12">
        <v>9</v>
      </c>
      <c r="D12" s="41"/>
      <c r="E12" s="14">
        <v>1</v>
      </c>
      <c r="F12" s="44">
        <f>D12*E12</f>
        <v>0</v>
      </c>
    </row>
    <row r="13" spans="1:7" x14ac:dyDescent="0.2">
      <c r="A13" s="6" t="s">
        <v>83</v>
      </c>
      <c r="B13" s="6"/>
      <c r="C13" s="5">
        <v>10</v>
      </c>
      <c r="D13" s="39">
        <f>SUM(F15:F20,F22:F29,F31:F38,F40:F44,F47:F48,F50:F53,F55:F57,F59:F63,F66:F70,F72:F76)+G13</f>
        <v>230.64</v>
      </c>
      <c r="E13" s="15"/>
      <c r="F13" s="45"/>
      <c r="G13" s="4">
        <v>216.44</v>
      </c>
    </row>
    <row r="14" spans="1:7" x14ac:dyDescent="0.2">
      <c r="A14" s="8" t="s">
        <v>6</v>
      </c>
      <c r="B14" s="25" t="s">
        <v>84</v>
      </c>
      <c r="C14" s="10">
        <v>11</v>
      </c>
      <c r="E14" s="13"/>
      <c r="F14" s="37"/>
    </row>
    <row r="15" spans="1:7" x14ac:dyDescent="0.2">
      <c r="A15" s="11"/>
      <c r="B15" s="11" t="s">
        <v>85</v>
      </c>
      <c r="C15" s="12">
        <v>12</v>
      </c>
      <c r="D15" s="41">
        <f>-汇总情况!$D$5</f>
        <v>-9</v>
      </c>
      <c r="E15" s="14">
        <v>0</v>
      </c>
      <c r="F15" s="44">
        <f>D15*E15</f>
        <v>0</v>
      </c>
    </row>
    <row r="16" spans="1:7" x14ac:dyDescent="0.2">
      <c r="A16" s="8"/>
      <c r="B16" s="9" t="s">
        <v>86</v>
      </c>
      <c r="C16" s="10">
        <v>13</v>
      </c>
      <c r="E16" s="13">
        <v>0</v>
      </c>
      <c r="F16" s="37">
        <f>D16*E16</f>
        <v>0</v>
      </c>
    </row>
    <row r="17" spans="1:6" x14ac:dyDescent="0.2">
      <c r="A17" s="11"/>
      <c r="B17" s="11" t="s">
        <v>87</v>
      </c>
      <c r="C17" s="12">
        <v>14</v>
      </c>
      <c r="D17" s="41"/>
      <c r="E17" s="14">
        <v>0</v>
      </c>
      <c r="F17" s="44">
        <f t="shared" ref="F17:F76" si="1">D17*E17</f>
        <v>0</v>
      </c>
    </row>
    <row r="18" spans="1:6" x14ac:dyDescent="0.2">
      <c r="A18" s="8"/>
      <c r="B18" s="9" t="s">
        <v>88</v>
      </c>
      <c r="C18" s="10">
        <v>15</v>
      </c>
      <c r="E18" s="13">
        <v>0</v>
      </c>
      <c r="F18" s="37">
        <f t="shared" si="1"/>
        <v>0</v>
      </c>
    </row>
    <row r="19" spans="1:6" x14ac:dyDescent="0.2">
      <c r="A19" s="11"/>
      <c r="B19" s="11" t="s">
        <v>89</v>
      </c>
      <c r="C19" s="12">
        <v>16</v>
      </c>
      <c r="D19" s="41"/>
      <c r="E19" s="14">
        <v>0</v>
      </c>
      <c r="F19" s="44">
        <f t="shared" si="1"/>
        <v>0</v>
      </c>
    </row>
    <row r="20" spans="1:6" x14ac:dyDescent="0.2">
      <c r="A20" s="8"/>
      <c r="B20" s="9" t="s">
        <v>90</v>
      </c>
      <c r="C20" s="10">
        <v>17</v>
      </c>
      <c r="E20" s="13">
        <v>0</v>
      </c>
      <c r="F20" s="37">
        <f t="shared" si="1"/>
        <v>0</v>
      </c>
    </row>
    <row r="21" spans="1:6" x14ac:dyDescent="0.2">
      <c r="A21" s="11"/>
      <c r="B21" s="26" t="s">
        <v>91</v>
      </c>
      <c r="C21" s="12">
        <v>18</v>
      </c>
      <c r="D21" s="41"/>
      <c r="E21" s="14"/>
      <c r="F21" s="44"/>
    </row>
    <row r="22" spans="1:6" x14ac:dyDescent="0.2">
      <c r="A22" s="8"/>
      <c r="B22" s="9" t="s">
        <v>92</v>
      </c>
      <c r="C22" s="10">
        <v>19</v>
      </c>
      <c r="E22" s="13">
        <v>0</v>
      </c>
      <c r="F22" s="37">
        <f t="shared" si="1"/>
        <v>0</v>
      </c>
    </row>
    <row r="23" spans="1:6" x14ac:dyDescent="0.2">
      <c r="A23" s="11"/>
      <c r="B23" s="11" t="s">
        <v>93</v>
      </c>
      <c r="C23" s="12">
        <v>20</v>
      </c>
      <c r="D23" s="41"/>
      <c r="E23" s="14">
        <v>0</v>
      </c>
      <c r="F23" s="44">
        <f t="shared" si="1"/>
        <v>0</v>
      </c>
    </row>
    <row r="24" spans="1:6" x14ac:dyDescent="0.2">
      <c r="A24" s="8"/>
      <c r="B24" s="9" t="s">
        <v>94</v>
      </c>
      <c r="C24" s="10">
        <v>21</v>
      </c>
      <c r="E24" s="13">
        <v>0</v>
      </c>
      <c r="F24" s="37">
        <f t="shared" si="1"/>
        <v>0</v>
      </c>
    </row>
    <row r="25" spans="1:6" x14ac:dyDescent="0.2">
      <c r="A25" s="11"/>
      <c r="B25" s="11" t="s">
        <v>95</v>
      </c>
      <c r="C25" s="12">
        <v>22</v>
      </c>
      <c r="D25" s="41"/>
      <c r="E25" s="14">
        <v>0</v>
      </c>
      <c r="F25" s="44">
        <f t="shared" si="1"/>
        <v>0</v>
      </c>
    </row>
    <row r="26" spans="1:6" x14ac:dyDescent="0.2">
      <c r="A26" s="8"/>
      <c r="B26" s="9" t="s">
        <v>96</v>
      </c>
      <c r="C26" s="10">
        <v>23</v>
      </c>
      <c r="E26" s="13">
        <v>0</v>
      </c>
      <c r="F26" s="37">
        <f t="shared" si="1"/>
        <v>0</v>
      </c>
    </row>
    <row r="27" spans="1:6" x14ac:dyDescent="0.2">
      <c r="A27" s="11"/>
      <c r="B27" s="11" t="s">
        <v>282</v>
      </c>
      <c r="C27" s="12">
        <v>24</v>
      </c>
      <c r="D27" s="41"/>
      <c r="E27" s="14">
        <v>0.01</v>
      </c>
      <c r="F27" s="44">
        <f t="shared" si="1"/>
        <v>0</v>
      </c>
    </row>
    <row r="28" spans="1:6" x14ac:dyDescent="0.2">
      <c r="A28" s="8"/>
      <c r="B28" s="9" t="s">
        <v>283</v>
      </c>
      <c r="C28" s="10">
        <v>25</v>
      </c>
      <c r="E28" s="13">
        <v>0.03</v>
      </c>
      <c r="F28" s="37">
        <f t="shared" si="1"/>
        <v>0</v>
      </c>
    </row>
    <row r="29" spans="1:6" x14ac:dyDescent="0.2">
      <c r="A29" s="11"/>
      <c r="B29" s="11" t="s">
        <v>97</v>
      </c>
      <c r="C29" s="12">
        <v>26</v>
      </c>
      <c r="D29" s="41"/>
      <c r="E29" s="14">
        <v>0.05</v>
      </c>
      <c r="F29" s="44">
        <f t="shared" si="1"/>
        <v>0</v>
      </c>
    </row>
    <row r="30" spans="1:6" x14ac:dyDescent="0.2">
      <c r="A30" s="8"/>
      <c r="B30" s="25" t="s">
        <v>98</v>
      </c>
      <c r="C30" s="10">
        <v>27</v>
      </c>
      <c r="E30" s="13"/>
      <c r="F30" s="37"/>
    </row>
    <row r="31" spans="1:6" x14ac:dyDescent="0.2">
      <c r="A31" s="11"/>
      <c r="B31" s="11" t="s">
        <v>92</v>
      </c>
      <c r="C31" s="12">
        <v>28</v>
      </c>
      <c r="D31" s="41"/>
      <c r="E31" s="14">
        <v>0.02</v>
      </c>
      <c r="F31" s="44">
        <f t="shared" si="1"/>
        <v>0</v>
      </c>
    </row>
    <row r="32" spans="1:6" x14ac:dyDescent="0.2">
      <c r="A32" s="8"/>
      <c r="B32" s="9" t="s">
        <v>99</v>
      </c>
      <c r="C32" s="10">
        <v>29</v>
      </c>
      <c r="E32" s="13">
        <v>0.02</v>
      </c>
      <c r="F32" s="37">
        <f t="shared" si="1"/>
        <v>0</v>
      </c>
    </row>
    <row r="33" spans="1:7" x14ac:dyDescent="0.2">
      <c r="A33" s="11"/>
      <c r="B33" s="11" t="s">
        <v>94</v>
      </c>
      <c r="C33" s="12">
        <v>30</v>
      </c>
      <c r="D33" s="41"/>
      <c r="E33" s="14">
        <v>0.05</v>
      </c>
      <c r="F33" s="44">
        <f t="shared" si="1"/>
        <v>0</v>
      </c>
    </row>
    <row r="34" spans="1:7" x14ac:dyDescent="0.2">
      <c r="A34" s="8"/>
      <c r="B34" s="9" t="s">
        <v>95</v>
      </c>
      <c r="C34" s="10">
        <v>31</v>
      </c>
      <c r="E34" s="13">
        <v>0.05</v>
      </c>
      <c r="F34" s="37">
        <f t="shared" si="1"/>
        <v>0</v>
      </c>
    </row>
    <row r="35" spans="1:7" x14ac:dyDescent="0.2">
      <c r="A35" s="11"/>
      <c r="B35" s="11" t="s">
        <v>96</v>
      </c>
      <c r="C35" s="12">
        <v>32</v>
      </c>
      <c r="D35" s="41"/>
      <c r="E35" s="14">
        <v>0.1</v>
      </c>
      <c r="F35" s="44">
        <f t="shared" si="1"/>
        <v>0</v>
      </c>
    </row>
    <row r="36" spans="1:7" x14ac:dyDescent="0.2">
      <c r="A36" s="8"/>
      <c r="B36" s="9" t="s">
        <v>282</v>
      </c>
      <c r="C36" s="10">
        <v>33</v>
      </c>
      <c r="E36" s="13">
        <v>0.2</v>
      </c>
      <c r="F36" s="37">
        <f t="shared" si="1"/>
        <v>0</v>
      </c>
    </row>
    <row r="37" spans="1:7" x14ac:dyDescent="0.2">
      <c r="A37" s="11"/>
      <c r="B37" s="11" t="s">
        <v>283</v>
      </c>
      <c r="C37" s="12">
        <v>34</v>
      </c>
      <c r="D37" s="41"/>
      <c r="E37" s="14">
        <v>0.3</v>
      </c>
      <c r="F37" s="44">
        <f t="shared" si="1"/>
        <v>0</v>
      </c>
    </row>
    <row r="38" spans="1:7" x14ac:dyDescent="0.2">
      <c r="A38" s="8"/>
      <c r="B38" s="9" t="s">
        <v>97</v>
      </c>
      <c r="C38" s="10">
        <v>35</v>
      </c>
      <c r="E38" s="13">
        <v>0.5</v>
      </c>
      <c r="F38" s="37">
        <f t="shared" si="1"/>
        <v>0</v>
      </c>
    </row>
    <row r="39" spans="1:7" x14ac:dyDescent="0.2">
      <c r="A39" s="11"/>
      <c r="B39" s="26" t="s">
        <v>100</v>
      </c>
      <c r="C39" s="12">
        <v>36</v>
      </c>
      <c r="D39" s="41"/>
      <c r="E39" s="14"/>
      <c r="F39" s="44"/>
    </row>
    <row r="40" spans="1:7" x14ac:dyDescent="0.2">
      <c r="A40" s="8"/>
      <c r="B40" s="9" t="s">
        <v>101</v>
      </c>
      <c r="C40" s="10">
        <v>37</v>
      </c>
      <c r="E40" s="13">
        <v>0.3</v>
      </c>
      <c r="F40" s="37">
        <f t="shared" si="1"/>
        <v>0</v>
      </c>
      <c r="G40" s="1" t="s">
        <v>171</v>
      </c>
    </row>
    <row r="41" spans="1:7" x14ac:dyDescent="0.2">
      <c r="A41" s="11"/>
      <c r="B41" s="11" t="s">
        <v>102</v>
      </c>
      <c r="C41" s="12">
        <v>38</v>
      </c>
      <c r="D41" s="41"/>
      <c r="E41" s="14">
        <v>0.5</v>
      </c>
      <c r="F41" s="44">
        <f t="shared" si="1"/>
        <v>0</v>
      </c>
    </row>
    <row r="42" spans="1:7" x14ac:dyDescent="0.2">
      <c r="A42" s="8"/>
      <c r="B42" s="9" t="s">
        <v>103</v>
      </c>
      <c r="C42" s="10">
        <v>39</v>
      </c>
      <c r="E42" s="13">
        <v>1</v>
      </c>
      <c r="F42" s="37">
        <f t="shared" si="1"/>
        <v>0</v>
      </c>
    </row>
    <row r="43" spans="1:7" x14ac:dyDescent="0.2">
      <c r="A43" s="11"/>
      <c r="B43" s="26" t="s">
        <v>104</v>
      </c>
      <c r="C43" s="12">
        <v>40</v>
      </c>
      <c r="D43" s="41"/>
      <c r="E43" s="14">
        <v>0.3</v>
      </c>
      <c r="F43" s="44">
        <f t="shared" si="1"/>
        <v>0</v>
      </c>
    </row>
    <row r="44" spans="1:7" x14ac:dyDescent="0.2">
      <c r="A44" s="8"/>
      <c r="B44" s="25" t="s">
        <v>105</v>
      </c>
      <c r="C44" s="10">
        <v>41</v>
      </c>
      <c r="D44" s="40">
        <v>0</v>
      </c>
      <c r="E44" s="13">
        <v>0</v>
      </c>
      <c r="F44" s="37">
        <f t="shared" si="1"/>
        <v>0</v>
      </c>
      <c r="G44" s="1" t="s">
        <v>307</v>
      </c>
    </row>
    <row r="45" spans="1:7" x14ac:dyDescent="0.2">
      <c r="A45" s="11"/>
      <c r="B45" s="26" t="s">
        <v>113</v>
      </c>
      <c r="C45" s="12">
        <v>42</v>
      </c>
      <c r="D45" s="41"/>
      <c r="E45" s="14"/>
      <c r="F45" s="44"/>
    </row>
    <row r="46" spans="1:7" x14ac:dyDescent="0.2">
      <c r="A46" s="8"/>
      <c r="B46" s="9" t="s">
        <v>106</v>
      </c>
      <c r="C46" s="10">
        <v>43</v>
      </c>
      <c r="E46" s="13"/>
      <c r="F46" s="37"/>
    </row>
    <row r="47" spans="1:7" x14ac:dyDescent="0.2">
      <c r="A47" s="11"/>
      <c r="B47" s="11" t="s">
        <v>107</v>
      </c>
      <c r="C47" s="12">
        <v>44</v>
      </c>
      <c r="D47" s="41"/>
      <c r="E47" s="14">
        <v>0.06</v>
      </c>
      <c r="F47" s="44">
        <f t="shared" si="1"/>
        <v>0</v>
      </c>
    </row>
    <row r="48" spans="1:7" x14ac:dyDescent="0.2">
      <c r="A48" s="8"/>
      <c r="B48" s="9" t="s">
        <v>108</v>
      </c>
      <c r="C48" s="10">
        <v>45</v>
      </c>
      <c r="E48" s="13">
        <v>0.1</v>
      </c>
      <c r="F48" s="37">
        <f t="shared" si="1"/>
        <v>0</v>
      </c>
    </row>
    <row r="49" spans="1:6" x14ac:dyDescent="0.2">
      <c r="A49" s="11"/>
      <c r="B49" s="11" t="s">
        <v>109</v>
      </c>
      <c r="C49" s="12">
        <v>46</v>
      </c>
      <c r="D49" s="41"/>
      <c r="E49" s="14"/>
      <c r="F49" s="44"/>
    </row>
    <row r="50" spans="1:6" x14ac:dyDescent="0.2">
      <c r="A50" s="8"/>
      <c r="B50" s="9" t="s">
        <v>110</v>
      </c>
      <c r="C50" s="10">
        <v>47</v>
      </c>
      <c r="E50" s="13">
        <v>0.1</v>
      </c>
      <c r="F50" s="37">
        <f t="shared" si="1"/>
        <v>0</v>
      </c>
    </row>
    <row r="51" spans="1:6" x14ac:dyDescent="0.2">
      <c r="A51" s="11"/>
      <c r="B51" s="11" t="s">
        <v>111</v>
      </c>
      <c r="C51" s="12">
        <v>48</v>
      </c>
      <c r="D51" s="41"/>
      <c r="E51" s="14">
        <v>0.5</v>
      </c>
      <c r="F51" s="44">
        <f t="shared" si="1"/>
        <v>0</v>
      </c>
    </row>
    <row r="52" spans="1:6" x14ac:dyDescent="0.2">
      <c r="A52" s="8"/>
      <c r="B52" s="9" t="s">
        <v>112</v>
      </c>
      <c r="C52" s="10">
        <v>49</v>
      </c>
      <c r="E52" s="13">
        <v>0.2</v>
      </c>
      <c r="F52" s="37">
        <f t="shared" si="1"/>
        <v>0</v>
      </c>
    </row>
    <row r="53" spans="1:6" x14ac:dyDescent="0.2">
      <c r="A53" s="11"/>
      <c r="B53" s="26" t="s">
        <v>114</v>
      </c>
      <c r="C53" s="12">
        <v>50</v>
      </c>
      <c r="D53" s="41"/>
      <c r="E53" s="14">
        <v>0.2</v>
      </c>
      <c r="F53" s="44">
        <f t="shared" si="1"/>
        <v>0</v>
      </c>
    </row>
    <row r="54" spans="1:6" x14ac:dyDescent="0.2">
      <c r="A54" s="8"/>
      <c r="B54" s="25" t="s">
        <v>115</v>
      </c>
      <c r="C54" s="10">
        <v>51</v>
      </c>
      <c r="E54" s="13"/>
      <c r="F54" s="37"/>
    </row>
    <row r="55" spans="1:6" x14ac:dyDescent="0.2">
      <c r="A55" s="11"/>
      <c r="B55" s="11" t="s">
        <v>116</v>
      </c>
      <c r="C55" s="12">
        <v>52</v>
      </c>
      <c r="D55" s="41"/>
      <c r="E55" s="14">
        <v>0.3</v>
      </c>
      <c r="F55" s="44">
        <f t="shared" si="1"/>
        <v>0</v>
      </c>
    </row>
    <row r="56" spans="1:6" x14ac:dyDescent="0.2">
      <c r="A56" s="8"/>
      <c r="B56" s="9" t="s">
        <v>117</v>
      </c>
      <c r="C56" s="10">
        <v>53</v>
      </c>
      <c r="E56" s="13">
        <v>0.05</v>
      </c>
      <c r="F56" s="37">
        <f t="shared" si="1"/>
        <v>0</v>
      </c>
    </row>
    <row r="57" spans="1:6" x14ac:dyDescent="0.2">
      <c r="A57" s="11"/>
      <c r="B57" s="26" t="s">
        <v>118</v>
      </c>
      <c r="C57" s="12">
        <v>54</v>
      </c>
      <c r="D57" s="41"/>
      <c r="E57" s="14">
        <v>0.5</v>
      </c>
      <c r="F57" s="44">
        <f t="shared" si="1"/>
        <v>0</v>
      </c>
    </row>
    <row r="58" spans="1:6" x14ac:dyDescent="0.2">
      <c r="A58" s="8"/>
      <c r="B58" s="25" t="s">
        <v>119</v>
      </c>
      <c r="C58" s="10">
        <v>55</v>
      </c>
      <c r="E58" s="13"/>
      <c r="F58" s="37"/>
    </row>
    <row r="59" spans="1:6" x14ac:dyDescent="0.2">
      <c r="A59" s="11"/>
      <c r="B59" s="11" t="s">
        <v>284</v>
      </c>
      <c r="C59" s="12">
        <v>56</v>
      </c>
      <c r="D59" s="41"/>
      <c r="E59" s="14">
        <v>0.5</v>
      </c>
      <c r="F59" s="44">
        <f t="shared" si="1"/>
        <v>0</v>
      </c>
    </row>
    <row r="60" spans="1:6" x14ac:dyDescent="0.2">
      <c r="A60" s="8"/>
      <c r="B60" s="9" t="s">
        <v>120</v>
      </c>
      <c r="C60" s="10">
        <v>57</v>
      </c>
      <c r="E60" s="13">
        <v>1</v>
      </c>
      <c r="F60" s="37">
        <f t="shared" si="1"/>
        <v>0</v>
      </c>
    </row>
    <row r="61" spans="1:6" x14ac:dyDescent="0.2">
      <c r="A61" s="11"/>
      <c r="B61" s="11" t="s">
        <v>121</v>
      </c>
      <c r="C61" s="12">
        <v>58</v>
      </c>
      <c r="D61" s="41"/>
      <c r="E61" s="14">
        <v>1</v>
      </c>
      <c r="F61" s="44">
        <f t="shared" si="1"/>
        <v>0</v>
      </c>
    </row>
    <row r="62" spans="1:6" x14ac:dyDescent="0.2">
      <c r="A62" s="8"/>
      <c r="B62" s="25" t="s">
        <v>122</v>
      </c>
      <c r="C62" s="10">
        <v>59</v>
      </c>
      <c r="E62" s="13">
        <v>0.5</v>
      </c>
      <c r="F62" s="37">
        <f t="shared" si="1"/>
        <v>0</v>
      </c>
    </row>
    <row r="63" spans="1:6" x14ac:dyDescent="0.2">
      <c r="A63" s="11"/>
      <c r="B63" s="26" t="s">
        <v>123</v>
      </c>
      <c r="C63" s="12">
        <v>60</v>
      </c>
      <c r="D63" s="41">
        <f>汇总情况!$D$7</f>
        <v>14</v>
      </c>
      <c r="E63" s="14">
        <v>1</v>
      </c>
      <c r="F63" s="44">
        <f t="shared" si="1"/>
        <v>14</v>
      </c>
    </row>
    <row r="64" spans="1:6" x14ac:dyDescent="0.2">
      <c r="A64" s="8"/>
      <c r="B64" s="25" t="s">
        <v>124</v>
      </c>
      <c r="C64" s="10">
        <v>61</v>
      </c>
      <c r="E64" s="13"/>
      <c r="F64" s="37"/>
    </row>
    <row r="65" spans="1:7" x14ac:dyDescent="0.2">
      <c r="A65" s="11"/>
      <c r="B65" s="26" t="s">
        <v>125</v>
      </c>
      <c r="C65" s="12">
        <v>62</v>
      </c>
      <c r="D65" s="41"/>
      <c r="E65" s="14"/>
      <c r="F65" s="44"/>
    </row>
    <row r="66" spans="1:7" x14ac:dyDescent="0.2">
      <c r="A66" s="8"/>
      <c r="B66" s="9" t="s">
        <v>126</v>
      </c>
      <c r="C66" s="10">
        <v>63</v>
      </c>
      <c r="E66" s="16">
        <v>5.0000000000000001E-3</v>
      </c>
      <c r="F66" s="37">
        <f t="shared" si="1"/>
        <v>0</v>
      </c>
    </row>
    <row r="67" spans="1:7" x14ac:dyDescent="0.2">
      <c r="A67" s="11"/>
      <c r="B67" s="11" t="s">
        <v>127</v>
      </c>
      <c r="C67" s="12">
        <v>64</v>
      </c>
      <c r="D67" s="41">
        <f>汇总情况!$D$4</f>
        <v>20</v>
      </c>
      <c r="E67" s="14">
        <v>0.01</v>
      </c>
      <c r="F67" s="44">
        <f t="shared" si="1"/>
        <v>0.2</v>
      </c>
      <c r="G67" s="1" t="s">
        <v>168</v>
      </c>
    </row>
    <row r="68" spans="1:7" x14ac:dyDescent="0.2">
      <c r="A68" s="8"/>
      <c r="B68" s="9" t="s">
        <v>128</v>
      </c>
      <c r="C68" s="10">
        <v>65</v>
      </c>
      <c r="E68" s="13">
        <v>0.03</v>
      </c>
      <c r="F68" s="37">
        <f t="shared" si="1"/>
        <v>0</v>
      </c>
    </row>
    <row r="69" spans="1:7" x14ac:dyDescent="0.2">
      <c r="A69" s="11"/>
      <c r="B69" s="11" t="s">
        <v>129</v>
      </c>
      <c r="C69" s="12">
        <v>66</v>
      </c>
      <c r="D69" s="41"/>
      <c r="E69" s="14">
        <v>0.08</v>
      </c>
      <c r="F69" s="44">
        <f t="shared" si="1"/>
        <v>0</v>
      </c>
    </row>
    <row r="70" spans="1:7" x14ac:dyDescent="0.2">
      <c r="A70" s="8"/>
      <c r="B70" s="9" t="s">
        <v>130</v>
      </c>
      <c r="C70" s="10">
        <v>67</v>
      </c>
      <c r="E70" s="13">
        <v>0.12</v>
      </c>
      <c r="F70" s="37">
        <f t="shared" si="1"/>
        <v>0</v>
      </c>
    </row>
    <row r="71" spans="1:7" x14ac:dyDescent="0.2">
      <c r="A71" s="11"/>
      <c r="B71" s="26" t="s">
        <v>131</v>
      </c>
      <c r="C71" s="12">
        <v>68</v>
      </c>
      <c r="D71" s="41"/>
      <c r="E71" s="14"/>
      <c r="F71" s="44"/>
    </row>
    <row r="72" spans="1:7" x14ac:dyDescent="0.2">
      <c r="A72" s="8"/>
      <c r="B72" s="9" t="s">
        <v>132</v>
      </c>
      <c r="C72" s="10">
        <v>69</v>
      </c>
      <c r="E72" s="13">
        <v>0.15</v>
      </c>
      <c r="F72" s="37">
        <f t="shared" si="1"/>
        <v>0</v>
      </c>
    </row>
    <row r="73" spans="1:7" x14ac:dyDescent="0.2">
      <c r="A73" s="11"/>
      <c r="B73" s="11" t="s">
        <v>133</v>
      </c>
      <c r="C73" s="12">
        <v>70</v>
      </c>
      <c r="D73" s="41"/>
      <c r="E73" s="14">
        <v>0.1</v>
      </c>
      <c r="F73" s="44">
        <f t="shared" si="1"/>
        <v>0</v>
      </c>
    </row>
    <row r="74" spans="1:7" x14ac:dyDescent="0.2">
      <c r="A74" s="8"/>
      <c r="B74" s="9" t="s">
        <v>135</v>
      </c>
      <c r="C74" s="10">
        <v>71</v>
      </c>
      <c r="E74" s="13">
        <v>0.05</v>
      </c>
      <c r="F74" s="37">
        <f t="shared" si="1"/>
        <v>0</v>
      </c>
    </row>
    <row r="75" spans="1:7" x14ac:dyDescent="0.2">
      <c r="A75" s="11"/>
      <c r="B75" s="11" t="s">
        <v>23</v>
      </c>
      <c r="C75" s="12">
        <v>72</v>
      </c>
      <c r="D75" s="41"/>
      <c r="E75" s="14">
        <v>0.05</v>
      </c>
      <c r="F75" s="44">
        <f t="shared" si="1"/>
        <v>0</v>
      </c>
    </row>
    <row r="76" spans="1:7" x14ac:dyDescent="0.2">
      <c r="A76" s="8"/>
      <c r="B76" s="9" t="s">
        <v>24</v>
      </c>
      <c r="C76" s="10">
        <v>73</v>
      </c>
      <c r="E76" s="13">
        <v>0.05</v>
      </c>
      <c r="F76" s="37">
        <f t="shared" si="1"/>
        <v>0</v>
      </c>
    </row>
    <row r="77" spans="1:7" ht="18" x14ac:dyDescent="0.25">
      <c r="A77" s="22" t="s">
        <v>134</v>
      </c>
      <c r="B77" s="22"/>
      <c r="C77" s="23">
        <v>74</v>
      </c>
      <c r="D77" s="42">
        <f>D4/D13*100%</f>
        <v>1.3237946583420048</v>
      </c>
      <c r="E77" s="24"/>
      <c r="F77" s="46"/>
      <c r="G77" s="48">
        <f>G4/G13*100%</f>
        <v>1.4106449824431713</v>
      </c>
    </row>
    <row r="78" spans="1:7" x14ac:dyDescent="0.2">
      <c r="C78" s="53" t="s">
        <v>172</v>
      </c>
      <c r="D78" s="52">
        <f>D77/G77-1</f>
        <v>-6.1567811307665643E-2</v>
      </c>
    </row>
  </sheetData>
  <sheetProtection sheet="1" objects="1" scenarios="1"/>
  <mergeCells count="2">
    <mergeCell ref="A1:F1"/>
    <mergeCell ref="A3:B3"/>
  </mergeCells>
  <phoneticPr fontId="2" type="noConversion"/>
  <pageMargins left="0.7" right="0.7" top="0.75" bottom="0.75" header="0.3" footer="0.3"/>
  <pageSetup paperSize="9" scale="44"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54EC9-92D4-42E5-86B3-74E0E77BBA6E}">
  <sheetPr codeName="Sheet2">
    <pageSetUpPr fitToPage="1"/>
  </sheetPr>
  <dimension ref="A1:J32"/>
  <sheetViews>
    <sheetView zoomScaleNormal="100" workbookViewId="0">
      <selection activeCell="C37" sqref="C37"/>
    </sheetView>
  </sheetViews>
  <sheetFormatPr defaultRowHeight="14.25" x14ac:dyDescent="0.2"/>
  <cols>
    <col min="2" max="2" width="42.625" customWidth="1"/>
    <col min="4" max="5" width="9" style="27"/>
    <col min="8" max="8" width="9" style="27"/>
    <col min="10" max="10" width="13.375" customWidth="1"/>
  </cols>
  <sheetData>
    <row r="1" spans="1:8" ht="25.5" x14ac:dyDescent="0.35">
      <c r="A1" s="97" t="s">
        <v>137</v>
      </c>
      <c r="B1" s="97"/>
      <c r="C1" s="97"/>
      <c r="D1" s="97"/>
      <c r="E1" s="97"/>
      <c r="F1" s="97"/>
      <c r="G1" s="97"/>
      <c r="H1" s="97"/>
    </row>
    <row r="2" spans="1:8" x14ac:dyDescent="0.2">
      <c r="G2" t="s">
        <v>138</v>
      </c>
      <c r="H2" s="27" t="s">
        <v>136</v>
      </c>
    </row>
    <row r="3" spans="1:8" x14ac:dyDescent="0.2">
      <c r="A3" s="99" t="s">
        <v>0</v>
      </c>
      <c r="B3" s="99"/>
      <c r="C3" s="99" t="s">
        <v>1</v>
      </c>
      <c r="D3" s="100" t="s">
        <v>139</v>
      </c>
      <c r="E3" s="100" t="s">
        <v>140</v>
      </c>
      <c r="F3" s="99" t="s">
        <v>141</v>
      </c>
      <c r="G3" s="101" t="s">
        <v>142</v>
      </c>
      <c r="H3" s="101"/>
    </row>
    <row r="4" spans="1:8" x14ac:dyDescent="0.2">
      <c r="A4" s="99"/>
      <c r="B4" s="99"/>
      <c r="C4" s="99"/>
      <c r="D4" s="100"/>
      <c r="E4" s="100"/>
      <c r="F4" s="99"/>
      <c r="G4" s="28" t="s">
        <v>143</v>
      </c>
      <c r="H4" s="56" t="s">
        <v>140</v>
      </c>
    </row>
    <row r="5" spans="1:8" x14ac:dyDescent="0.2">
      <c r="A5" s="29" t="s">
        <v>144</v>
      </c>
      <c r="B5" s="29"/>
      <c r="C5" s="30">
        <v>1</v>
      </c>
      <c r="D5" s="54">
        <v>164.96019999999999</v>
      </c>
      <c r="E5" s="54"/>
      <c r="F5" s="29"/>
      <c r="G5" s="54">
        <f>D5</f>
        <v>164.96019999999999</v>
      </c>
      <c r="H5" s="54"/>
    </row>
    <row r="6" spans="1:8" x14ac:dyDescent="0.2">
      <c r="A6" s="31"/>
      <c r="B6" s="31" t="s">
        <v>145</v>
      </c>
      <c r="C6" s="32">
        <v>2</v>
      </c>
      <c r="D6" s="47"/>
      <c r="E6" s="47"/>
      <c r="F6" s="31"/>
      <c r="G6" s="31"/>
      <c r="H6" s="47"/>
    </row>
    <row r="7" spans="1:8" x14ac:dyDescent="0.2">
      <c r="B7" t="s">
        <v>146</v>
      </c>
      <c r="C7" s="33">
        <v>3</v>
      </c>
      <c r="F7" s="34">
        <v>1</v>
      </c>
    </row>
    <row r="8" spans="1:8" x14ac:dyDescent="0.2">
      <c r="A8" s="31"/>
      <c r="B8" s="31" t="s">
        <v>147</v>
      </c>
      <c r="C8" s="32">
        <v>4</v>
      </c>
      <c r="D8" s="47">
        <f>SUM(D9:D11)</f>
        <v>0</v>
      </c>
      <c r="E8" s="47">
        <f>SUM(E9:E11)</f>
        <v>0</v>
      </c>
      <c r="F8" s="31"/>
      <c r="G8" s="31"/>
      <c r="H8" s="47">
        <f>SUM(H9:H11)</f>
        <v>0</v>
      </c>
    </row>
    <row r="9" spans="1:8" x14ac:dyDescent="0.2">
      <c r="B9" t="s">
        <v>148</v>
      </c>
      <c r="C9" s="33">
        <v>5</v>
      </c>
      <c r="F9" s="34">
        <v>0.1</v>
      </c>
    </row>
    <row r="10" spans="1:8" x14ac:dyDescent="0.2">
      <c r="A10" s="31"/>
      <c r="B10" s="31" t="s">
        <v>149</v>
      </c>
      <c r="C10" s="32">
        <v>6</v>
      </c>
      <c r="D10" s="47"/>
      <c r="E10" s="47">
        <f>'1.1NSFR(不含ETF空头)'!$D$18</f>
        <v>0</v>
      </c>
      <c r="F10" s="35">
        <v>1</v>
      </c>
      <c r="G10" s="31"/>
      <c r="H10" s="47">
        <f>E10*F10</f>
        <v>0</v>
      </c>
    </row>
    <row r="11" spans="1:8" x14ac:dyDescent="0.2">
      <c r="B11" t="s">
        <v>150</v>
      </c>
      <c r="C11" s="33">
        <v>7</v>
      </c>
    </row>
    <row r="12" spans="1:8" x14ac:dyDescent="0.2">
      <c r="A12" s="31"/>
      <c r="B12" s="31" t="s">
        <v>151</v>
      </c>
      <c r="C12" s="32">
        <v>8</v>
      </c>
      <c r="D12" s="47"/>
      <c r="E12" s="47"/>
      <c r="F12" s="35">
        <v>1</v>
      </c>
      <c r="G12" s="31"/>
      <c r="H12" s="47"/>
    </row>
    <row r="13" spans="1:8" x14ac:dyDescent="0.2">
      <c r="B13" t="s">
        <v>152</v>
      </c>
      <c r="C13" s="33">
        <v>9</v>
      </c>
      <c r="F13" s="34">
        <v>1</v>
      </c>
    </row>
    <row r="14" spans="1:8" x14ac:dyDescent="0.2">
      <c r="A14" s="31"/>
      <c r="B14" s="31" t="s">
        <v>153</v>
      </c>
      <c r="C14" s="32">
        <v>10</v>
      </c>
      <c r="D14" s="47"/>
      <c r="E14" s="47"/>
      <c r="F14" s="35">
        <v>1</v>
      </c>
      <c r="G14" s="31"/>
      <c r="H14" s="47"/>
    </row>
    <row r="15" spans="1:8" x14ac:dyDescent="0.2">
      <c r="B15" t="s">
        <v>154</v>
      </c>
      <c r="C15" s="33">
        <v>11</v>
      </c>
    </row>
    <row r="16" spans="1:8" x14ac:dyDescent="0.2">
      <c r="A16" s="31"/>
      <c r="B16" s="31" t="s">
        <v>155</v>
      </c>
      <c r="C16" s="32">
        <v>12</v>
      </c>
      <c r="D16" s="47"/>
      <c r="E16" s="47"/>
      <c r="F16" s="35">
        <v>1</v>
      </c>
      <c r="G16" s="31"/>
      <c r="H16" s="47"/>
    </row>
    <row r="17" spans="1:10" x14ac:dyDescent="0.2">
      <c r="B17" t="s">
        <v>156</v>
      </c>
      <c r="C17" s="33">
        <v>13</v>
      </c>
      <c r="F17" s="34">
        <v>1</v>
      </c>
    </row>
    <row r="18" spans="1:10" x14ac:dyDescent="0.2">
      <c r="A18" s="31"/>
      <c r="B18" s="31" t="s">
        <v>157</v>
      </c>
      <c r="C18" s="32">
        <v>14</v>
      </c>
      <c r="D18" s="47"/>
      <c r="E18" s="47"/>
      <c r="F18" s="31"/>
      <c r="G18" s="31"/>
      <c r="H18" s="47"/>
    </row>
    <row r="19" spans="1:10" x14ac:dyDescent="0.2">
      <c r="B19" t="s">
        <v>158</v>
      </c>
      <c r="C19" s="33">
        <v>15</v>
      </c>
      <c r="F19" s="34">
        <v>1</v>
      </c>
    </row>
    <row r="20" spans="1:10" x14ac:dyDescent="0.2">
      <c r="A20" s="31"/>
      <c r="B20" s="31" t="s">
        <v>159</v>
      </c>
      <c r="C20" s="32">
        <v>16</v>
      </c>
      <c r="D20" s="47"/>
      <c r="E20" s="47"/>
      <c r="F20" s="31"/>
      <c r="G20" s="31"/>
      <c r="H20" s="47"/>
    </row>
    <row r="21" spans="1:10" x14ac:dyDescent="0.2">
      <c r="B21" t="s">
        <v>160</v>
      </c>
      <c r="C21" s="33">
        <v>17</v>
      </c>
    </row>
    <row r="22" spans="1:10" x14ac:dyDescent="0.2">
      <c r="A22" s="31"/>
      <c r="B22" s="31" t="s">
        <v>161</v>
      </c>
      <c r="C22" s="32">
        <v>18</v>
      </c>
      <c r="D22" s="47"/>
      <c r="E22" s="47"/>
      <c r="F22" s="35">
        <v>1</v>
      </c>
      <c r="G22" s="31"/>
      <c r="H22" s="47"/>
    </row>
    <row r="23" spans="1:10" x14ac:dyDescent="0.2">
      <c r="B23" t="s">
        <v>162</v>
      </c>
      <c r="C23" s="33">
        <v>19</v>
      </c>
    </row>
    <row r="24" spans="1:10" x14ac:dyDescent="0.2">
      <c r="A24" s="36" t="s">
        <v>163</v>
      </c>
      <c r="B24" s="36"/>
      <c r="C24" s="30">
        <v>20</v>
      </c>
      <c r="D24" s="55">
        <f>D5-D6-D7-D8-D12-D13-D14-D15-D16-D17-D18-D19-D20-D21-D22-D23</f>
        <v>164.96019999999999</v>
      </c>
      <c r="E24" s="55"/>
      <c r="F24" s="36"/>
      <c r="G24" s="55">
        <f>G5-G6-G7-G8-G12-G13-G14-G15-G16-G17-G18-G19-G20-G21-G22-G23</f>
        <v>164.96019999999999</v>
      </c>
      <c r="H24" s="55">
        <f>G24+H5-H6-H7-H8-H12-H13-H14-H15-H16-H17-H18-H19-H20-H21-H22-H23</f>
        <v>164.96019999999999</v>
      </c>
    </row>
    <row r="25" spans="1:10" x14ac:dyDescent="0.2">
      <c r="B25" t="s">
        <v>164</v>
      </c>
      <c r="C25" s="33">
        <v>21</v>
      </c>
    </row>
    <row r="26" spans="1:10" x14ac:dyDescent="0.2">
      <c r="A26" s="31"/>
      <c r="B26" s="31" t="s">
        <v>165</v>
      </c>
      <c r="C26" s="32">
        <v>22</v>
      </c>
      <c r="D26" s="47"/>
      <c r="E26" s="47"/>
      <c r="F26" s="31"/>
      <c r="G26" s="31"/>
      <c r="H26" s="47"/>
    </row>
    <row r="27" spans="1:10" x14ac:dyDescent="0.2">
      <c r="B27" t="s">
        <v>166</v>
      </c>
      <c r="C27" s="33">
        <v>23</v>
      </c>
    </row>
    <row r="28" spans="1:10" x14ac:dyDescent="0.2">
      <c r="A28" s="36" t="s">
        <v>167</v>
      </c>
      <c r="B28" s="36"/>
      <c r="C28" s="30">
        <v>24</v>
      </c>
      <c r="D28" s="55">
        <f>SUM(D24:D25)</f>
        <v>164.96019999999999</v>
      </c>
      <c r="E28" s="55"/>
      <c r="F28" s="36"/>
      <c r="G28" s="55">
        <f>SUM(G24:G25)</f>
        <v>164.96019999999999</v>
      </c>
      <c r="H28" s="55">
        <f>SUM(H24:H25)</f>
        <v>164.96019999999999</v>
      </c>
      <c r="J28" t="s">
        <v>301</v>
      </c>
    </row>
    <row r="29" spans="1:10" x14ac:dyDescent="0.2">
      <c r="D29" s="53"/>
      <c r="E29" s="52"/>
      <c r="G29" s="65" t="s">
        <v>274</v>
      </c>
      <c r="H29" s="64">
        <f>H28/G28-1</f>
        <v>0</v>
      </c>
    </row>
    <row r="31" spans="1:10" x14ac:dyDescent="0.2">
      <c r="B31" s="62" t="s">
        <v>281</v>
      </c>
      <c r="C31" s="63"/>
      <c r="D31" s="77"/>
      <c r="E31" s="77"/>
      <c r="F31" s="63"/>
      <c r="G31" s="78">
        <f>$G$28/'1.3风险资本准备计算表(不含ETF空头)'!$G$102</f>
        <v>1.7833535135135135</v>
      </c>
      <c r="H31" s="78">
        <f>$H$28/'1.3风险资本准备计算表(不含ETF空头)'!$H$102</f>
        <v>1.6760841292420239</v>
      </c>
    </row>
    <row r="32" spans="1:10" x14ac:dyDescent="0.2">
      <c r="G32" s="65" t="s">
        <v>274</v>
      </c>
      <c r="H32" s="64">
        <f>H31/G31-1</f>
        <v>-6.0150375939849621E-2</v>
      </c>
    </row>
  </sheetData>
  <mergeCells count="7">
    <mergeCell ref="A1:H1"/>
    <mergeCell ref="A3:B4"/>
    <mergeCell ref="C3:C4"/>
    <mergeCell ref="D3:D4"/>
    <mergeCell ref="E3:E4"/>
    <mergeCell ref="F3:F4"/>
    <mergeCell ref="G3:H3"/>
  </mergeCells>
  <phoneticPr fontId="2" type="noConversion"/>
  <pageMargins left="0.7" right="0.7" top="0.75" bottom="0.75" header="0.3" footer="0.3"/>
  <pageSetup paperSize="9" scale="70"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0DD03-3BE8-415B-96B2-6E2A6F378678}">
  <sheetPr codeName="Sheet3">
    <pageSetUpPr fitToPage="1"/>
  </sheetPr>
  <dimension ref="A1:Q104"/>
  <sheetViews>
    <sheetView topLeftCell="A13" zoomScaleNormal="100" workbookViewId="0">
      <selection activeCell="E36" sqref="E36"/>
    </sheetView>
  </sheetViews>
  <sheetFormatPr defaultRowHeight="14.25" x14ac:dyDescent="0.2"/>
  <cols>
    <col min="1" max="1" width="39.625" customWidth="1"/>
    <col min="2" max="2" width="50.75" customWidth="1"/>
    <col min="5" max="5" width="9" style="27"/>
    <col min="8" max="8" width="11.875" style="27" customWidth="1"/>
    <col min="12" max="12" width="13.375" customWidth="1"/>
    <col min="13" max="13" width="12.75" bestFit="1" customWidth="1"/>
  </cols>
  <sheetData>
    <row r="1" spans="1:9" ht="25.5" x14ac:dyDescent="0.35">
      <c r="A1" s="97" t="s">
        <v>273</v>
      </c>
      <c r="B1" s="97"/>
      <c r="C1" s="97"/>
      <c r="D1" s="97"/>
      <c r="E1" s="97"/>
      <c r="F1" s="97"/>
      <c r="G1" s="97"/>
      <c r="H1" s="97"/>
    </row>
    <row r="2" spans="1:9" x14ac:dyDescent="0.2">
      <c r="G2" s="18" t="s">
        <v>71</v>
      </c>
      <c r="H2" s="43" t="s">
        <v>136</v>
      </c>
    </row>
    <row r="3" spans="1:9" x14ac:dyDescent="0.2">
      <c r="A3" s="104" t="s">
        <v>173</v>
      </c>
      <c r="B3" s="104"/>
      <c r="C3" s="104" t="s">
        <v>174</v>
      </c>
      <c r="D3" s="104" t="s">
        <v>175</v>
      </c>
      <c r="E3" s="105" t="s">
        <v>176</v>
      </c>
      <c r="F3" s="104" t="s">
        <v>177</v>
      </c>
      <c r="G3" s="103" t="s">
        <v>178</v>
      </c>
      <c r="H3" s="103"/>
    </row>
    <row r="4" spans="1:9" x14ac:dyDescent="0.2">
      <c r="A4" s="104"/>
      <c r="B4" s="104"/>
      <c r="C4" s="104"/>
      <c r="D4" s="104"/>
      <c r="E4" s="105"/>
      <c r="F4" s="104"/>
      <c r="G4" s="62" t="s">
        <v>175</v>
      </c>
      <c r="H4" s="73" t="s">
        <v>176</v>
      </c>
    </row>
    <row r="5" spans="1:9" x14ac:dyDescent="0.2">
      <c r="A5" s="62" t="s">
        <v>179</v>
      </c>
      <c r="B5" s="62"/>
      <c r="C5" s="62">
        <v>1</v>
      </c>
      <c r="D5" s="62"/>
      <c r="E5" s="73"/>
      <c r="F5" s="62"/>
      <c r="G5" s="62"/>
      <c r="H5" s="73">
        <f>SUM(H6,H18,H46,H49)</f>
        <v>7.4</v>
      </c>
    </row>
    <row r="6" spans="1:9" x14ac:dyDescent="0.2">
      <c r="A6" s="58" t="s">
        <v>201</v>
      </c>
      <c r="C6">
        <v>2</v>
      </c>
      <c r="H6" s="27">
        <f>SUM(H7:H17)</f>
        <v>0.4</v>
      </c>
    </row>
    <row r="7" spans="1:9" x14ac:dyDescent="0.2">
      <c r="A7" s="31"/>
      <c r="B7" s="31" t="s">
        <v>180</v>
      </c>
      <c r="C7" s="31">
        <v>3</v>
      </c>
      <c r="D7" s="31"/>
      <c r="E7" s="47"/>
      <c r="F7" s="35">
        <v>0.1</v>
      </c>
      <c r="G7" s="31"/>
      <c r="H7" s="47">
        <f>E7*F7</f>
        <v>0</v>
      </c>
    </row>
    <row r="8" spans="1:9" x14ac:dyDescent="0.2">
      <c r="B8" t="s">
        <v>181</v>
      </c>
      <c r="C8">
        <v>4</v>
      </c>
      <c r="F8" s="34">
        <v>0.3</v>
      </c>
      <c r="H8" s="27">
        <f t="shared" ref="H8:H16" si="0">E8*F8</f>
        <v>0</v>
      </c>
    </row>
    <row r="9" spans="1:9" x14ac:dyDescent="0.2">
      <c r="A9" s="31"/>
      <c r="B9" s="31" t="s">
        <v>182</v>
      </c>
      <c r="C9" s="31">
        <v>5</v>
      </c>
      <c r="D9" s="31"/>
      <c r="E9" s="47"/>
      <c r="F9" s="35">
        <v>0.5</v>
      </c>
      <c r="G9" s="31"/>
      <c r="H9" s="47">
        <f t="shared" si="0"/>
        <v>0</v>
      </c>
    </row>
    <row r="10" spans="1:9" x14ac:dyDescent="0.2">
      <c r="B10" t="s">
        <v>183</v>
      </c>
      <c r="C10">
        <v>6</v>
      </c>
      <c r="F10" s="34">
        <v>0.8</v>
      </c>
      <c r="H10" s="27">
        <f t="shared" si="0"/>
        <v>0</v>
      </c>
    </row>
    <row r="11" spans="1:9" x14ac:dyDescent="0.2">
      <c r="A11" s="31"/>
      <c r="B11" s="31" t="s">
        <v>184</v>
      </c>
      <c r="C11" s="31">
        <v>7</v>
      </c>
      <c r="D11" s="31"/>
      <c r="E11" s="47"/>
      <c r="F11" s="31"/>
      <c r="G11" s="31"/>
      <c r="H11" s="47"/>
    </row>
    <row r="12" spans="1:9" x14ac:dyDescent="0.2">
      <c r="B12" t="s">
        <v>185</v>
      </c>
      <c r="C12">
        <v>8</v>
      </c>
      <c r="F12" s="34">
        <v>0.05</v>
      </c>
      <c r="H12" s="27">
        <f t="shared" si="0"/>
        <v>0</v>
      </c>
    </row>
    <row r="13" spans="1:9" x14ac:dyDescent="0.2">
      <c r="A13" s="31"/>
      <c r="B13" s="66" t="s">
        <v>187</v>
      </c>
      <c r="C13" s="31">
        <v>9</v>
      </c>
      <c r="D13" s="31"/>
      <c r="E13" s="47"/>
      <c r="F13" s="35">
        <v>0.5</v>
      </c>
      <c r="G13" s="31"/>
      <c r="H13" s="47">
        <f t="shared" si="0"/>
        <v>0</v>
      </c>
    </row>
    <row r="14" spans="1:9" x14ac:dyDescent="0.2">
      <c r="B14" t="s">
        <v>188</v>
      </c>
      <c r="C14">
        <v>10</v>
      </c>
      <c r="F14" s="34">
        <v>0.1</v>
      </c>
      <c r="H14" s="27">
        <f t="shared" si="0"/>
        <v>0</v>
      </c>
    </row>
    <row r="15" spans="1:9" x14ac:dyDescent="0.2">
      <c r="A15" s="31"/>
      <c r="B15" s="66" t="s">
        <v>186</v>
      </c>
      <c r="C15" s="31">
        <v>11</v>
      </c>
      <c r="D15" s="31"/>
      <c r="E15" s="47">
        <f>汇总情况!$D$4*10%</f>
        <v>2</v>
      </c>
      <c r="F15" s="35">
        <v>0.2</v>
      </c>
      <c r="G15" s="31"/>
      <c r="H15" s="47">
        <f t="shared" si="0"/>
        <v>0.4</v>
      </c>
      <c r="I15" t="s">
        <v>309</v>
      </c>
    </row>
    <row r="16" spans="1:9" x14ac:dyDescent="0.2">
      <c r="B16" t="s">
        <v>189</v>
      </c>
      <c r="C16">
        <v>12</v>
      </c>
      <c r="F16" s="34">
        <v>1</v>
      </c>
      <c r="H16" s="27">
        <f t="shared" si="0"/>
        <v>0</v>
      </c>
    </row>
    <row r="17" spans="1:8" x14ac:dyDescent="0.2">
      <c r="A17" s="31"/>
      <c r="B17" s="66" t="s">
        <v>190</v>
      </c>
      <c r="C17" s="31">
        <v>13</v>
      </c>
      <c r="D17" s="31"/>
      <c r="E17" s="47"/>
      <c r="F17" s="31"/>
      <c r="G17" s="31"/>
      <c r="H17" s="47"/>
    </row>
    <row r="18" spans="1:8" x14ac:dyDescent="0.2">
      <c r="A18" s="58" t="s">
        <v>191</v>
      </c>
      <c r="C18">
        <v>14</v>
      </c>
      <c r="H18" s="27">
        <f>SUM(H19:H45)</f>
        <v>7</v>
      </c>
    </row>
    <row r="19" spans="1:8" x14ac:dyDescent="0.2">
      <c r="A19" s="31"/>
      <c r="B19" s="66" t="s">
        <v>192</v>
      </c>
      <c r="C19" s="31">
        <v>15</v>
      </c>
      <c r="D19" s="31"/>
      <c r="E19" s="47"/>
      <c r="F19" s="35">
        <v>0</v>
      </c>
      <c r="G19" s="31"/>
      <c r="H19" s="47">
        <f t="shared" ref="H19:H43" si="1">E19*F19</f>
        <v>0</v>
      </c>
    </row>
    <row r="20" spans="1:8" x14ac:dyDescent="0.2">
      <c r="B20" t="s">
        <v>193</v>
      </c>
      <c r="C20">
        <v>16</v>
      </c>
      <c r="F20" s="34">
        <v>0.01</v>
      </c>
      <c r="H20" s="27">
        <f t="shared" si="1"/>
        <v>0</v>
      </c>
    </row>
    <row r="21" spans="1:8" x14ac:dyDescent="0.2">
      <c r="A21" s="31"/>
      <c r="B21" s="66" t="s">
        <v>194</v>
      </c>
      <c r="C21" s="31">
        <v>17</v>
      </c>
      <c r="D21" s="31"/>
      <c r="E21" s="47"/>
      <c r="F21" s="35">
        <v>0.05</v>
      </c>
      <c r="G21" s="31"/>
      <c r="H21" s="47">
        <f t="shared" si="1"/>
        <v>0</v>
      </c>
    </row>
    <row r="22" spans="1:8" x14ac:dyDescent="0.2">
      <c r="B22" t="s">
        <v>195</v>
      </c>
      <c r="C22">
        <v>18</v>
      </c>
      <c r="F22" s="34">
        <v>0.05</v>
      </c>
      <c r="H22" s="27">
        <f t="shared" si="1"/>
        <v>0</v>
      </c>
    </row>
    <row r="23" spans="1:8" x14ac:dyDescent="0.2">
      <c r="A23" s="31"/>
      <c r="B23" s="66" t="s">
        <v>196</v>
      </c>
      <c r="C23" s="31">
        <v>19</v>
      </c>
      <c r="D23" s="31"/>
      <c r="E23" s="47"/>
      <c r="F23" s="35">
        <v>0.1</v>
      </c>
      <c r="G23" s="31"/>
      <c r="H23" s="47">
        <f t="shared" si="1"/>
        <v>0</v>
      </c>
    </row>
    <row r="24" spans="1:8" x14ac:dyDescent="0.2">
      <c r="B24" t="s">
        <v>197</v>
      </c>
      <c r="C24">
        <v>20</v>
      </c>
      <c r="F24" s="34">
        <v>0.15</v>
      </c>
      <c r="H24" s="27">
        <f t="shared" si="1"/>
        <v>0</v>
      </c>
    </row>
    <row r="25" spans="1:8" x14ac:dyDescent="0.2">
      <c r="A25" s="31"/>
      <c r="B25" s="31" t="s">
        <v>198</v>
      </c>
      <c r="C25" s="31">
        <v>21</v>
      </c>
      <c r="D25" s="31"/>
      <c r="E25" s="47"/>
      <c r="F25" s="35">
        <v>0.5</v>
      </c>
      <c r="G25" s="31"/>
      <c r="H25" s="47">
        <f t="shared" si="1"/>
        <v>0</v>
      </c>
    </row>
    <row r="26" spans="1:8" x14ac:dyDescent="0.2">
      <c r="B26" s="57" t="s">
        <v>199</v>
      </c>
      <c r="C26">
        <v>22</v>
      </c>
      <c r="F26" s="34">
        <v>0.8</v>
      </c>
      <c r="H26" s="27">
        <f t="shared" si="1"/>
        <v>0</v>
      </c>
    </row>
    <row r="27" spans="1:8" x14ac:dyDescent="0.2">
      <c r="A27" s="31"/>
      <c r="B27" s="31" t="s">
        <v>200</v>
      </c>
      <c r="C27" s="31">
        <v>23</v>
      </c>
      <c r="D27" s="31"/>
      <c r="E27" s="47"/>
      <c r="F27" s="31"/>
      <c r="G27" s="31"/>
      <c r="H27" s="47"/>
    </row>
    <row r="28" spans="1:8" x14ac:dyDescent="0.2">
      <c r="B28" t="s">
        <v>202</v>
      </c>
      <c r="C28">
        <v>24</v>
      </c>
      <c r="F28" s="34">
        <v>0.05</v>
      </c>
      <c r="H28" s="27">
        <f t="shared" si="1"/>
        <v>0</v>
      </c>
    </row>
    <row r="29" spans="1:8" x14ac:dyDescent="0.2">
      <c r="A29" s="31"/>
      <c r="B29" s="31" t="s">
        <v>203</v>
      </c>
      <c r="C29" s="31">
        <v>25</v>
      </c>
      <c r="D29" s="31"/>
      <c r="E29" s="47"/>
      <c r="F29" s="35">
        <v>0.06</v>
      </c>
      <c r="G29" s="31"/>
      <c r="H29" s="47">
        <f t="shared" si="1"/>
        <v>0</v>
      </c>
    </row>
    <row r="30" spans="1:8" x14ac:dyDescent="0.2">
      <c r="B30" t="s">
        <v>204</v>
      </c>
      <c r="C30">
        <v>26</v>
      </c>
      <c r="F30" s="34">
        <v>0.1</v>
      </c>
      <c r="H30" s="27">
        <f t="shared" si="1"/>
        <v>0</v>
      </c>
    </row>
    <row r="31" spans="1:8" x14ac:dyDescent="0.2">
      <c r="A31" s="31"/>
      <c r="B31" s="66" t="s">
        <v>205</v>
      </c>
      <c r="C31" s="31">
        <v>27</v>
      </c>
      <c r="D31" s="31"/>
      <c r="E31" s="47"/>
      <c r="F31" s="35">
        <v>0.2</v>
      </c>
      <c r="G31" s="31"/>
      <c r="H31" s="47">
        <f t="shared" si="1"/>
        <v>0</v>
      </c>
    </row>
    <row r="32" spans="1:8" x14ac:dyDescent="0.2">
      <c r="B32" t="s">
        <v>206</v>
      </c>
      <c r="C32">
        <v>28</v>
      </c>
      <c r="F32" s="34">
        <v>0.2</v>
      </c>
      <c r="H32" s="27">
        <f t="shared" si="1"/>
        <v>0</v>
      </c>
    </row>
    <row r="33" spans="1:17" x14ac:dyDescent="0.2">
      <c r="A33" s="31"/>
      <c r="B33" s="31" t="s">
        <v>207</v>
      </c>
      <c r="C33" s="31">
        <v>29</v>
      </c>
      <c r="D33" s="31"/>
      <c r="E33" s="47"/>
      <c r="F33" s="31"/>
      <c r="G33" s="31"/>
      <c r="H33" s="47"/>
    </row>
    <row r="34" spans="1:17" x14ac:dyDescent="0.2">
      <c r="B34" t="s">
        <v>208</v>
      </c>
      <c r="C34">
        <v>30</v>
      </c>
      <c r="F34" s="34">
        <v>0.25</v>
      </c>
      <c r="H34" s="27">
        <f t="shared" si="1"/>
        <v>0</v>
      </c>
    </row>
    <row r="35" spans="1:17" x14ac:dyDescent="0.2">
      <c r="A35" s="31"/>
      <c r="B35" s="31" t="s">
        <v>209</v>
      </c>
      <c r="C35" s="31">
        <v>31</v>
      </c>
      <c r="D35" s="31"/>
      <c r="E35" s="47"/>
      <c r="F35" s="35">
        <v>0.5</v>
      </c>
      <c r="G35" s="31"/>
      <c r="H35" s="47">
        <f t="shared" si="1"/>
        <v>0</v>
      </c>
    </row>
    <row r="36" spans="1:17" x14ac:dyDescent="0.2">
      <c r="B36" t="s">
        <v>210</v>
      </c>
      <c r="C36">
        <v>32</v>
      </c>
      <c r="E36" s="27">
        <f>汇总情况!$D$7</f>
        <v>14</v>
      </c>
      <c r="F36" s="34">
        <v>0.5</v>
      </c>
      <c r="H36" s="27">
        <f t="shared" si="1"/>
        <v>7</v>
      </c>
      <c r="I36" t="s">
        <v>308</v>
      </c>
    </row>
    <row r="37" spans="1:17" x14ac:dyDescent="0.2">
      <c r="A37" s="31"/>
      <c r="B37" s="31" t="s">
        <v>211</v>
      </c>
      <c r="C37" s="31">
        <v>33</v>
      </c>
      <c r="D37" s="31"/>
      <c r="E37" s="47"/>
      <c r="F37" s="35">
        <v>0.08</v>
      </c>
      <c r="G37" s="31"/>
      <c r="H37" s="47">
        <f t="shared" si="1"/>
        <v>0</v>
      </c>
    </row>
    <row r="38" spans="1:17" x14ac:dyDescent="0.2">
      <c r="B38" t="s">
        <v>212</v>
      </c>
      <c r="C38">
        <v>34</v>
      </c>
      <c r="F38" s="34">
        <v>0.2</v>
      </c>
      <c r="H38" s="27">
        <f t="shared" si="1"/>
        <v>0</v>
      </c>
    </row>
    <row r="39" spans="1:17" x14ac:dyDescent="0.2">
      <c r="A39" s="31"/>
      <c r="B39" s="31" t="s">
        <v>213</v>
      </c>
      <c r="C39" s="31">
        <v>35</v>
      </c>
      <c r="D39" s="31"/>
      <c r="E39" s="47"/>
      <c r="F39" s="31"/>
      <c r="G39" s="31"/>
      <c r="H39" s="47"/>
    </row>
    <row r="40" spans="1:17" x14ac:dyDescent="0.2">
      <c r="B40" t="s">
        <v>214</v>
      </c>
      <c r="C40">
        <v>36</v>
      </c>
      <c r="F40" s="34">
        <v>1</v>
      </c>
      <c r="H40" s="27">
        <f t="shared" si="1"/>
        <v>0</v>
      </c>
    </row>
    <row r="41" spans="1:17" x14ac:dyDescent="0.2">
      <c r="A41" s="31"/>
      <c r="B41" s="31" t="s">
        <v>215</v>
      </c>
      <c r="C41" s="31">
        <v>37</v>
      </c>
      <c r="D41" s="31"/>
      <c r="E41" s="47"/>
      <c r="F41" s="35">
        <v>0.2</v>
      </c>
      <c r="G41" s="31"/>
      <c r="H41" s="47">
        <f t="shared" si="1"/>
        <v>0</v>
      </c>
    </row>
    <row r="42" spans="1:17" x14ac:dyDescent="0.2">
      <c r="B42" t="s">
        <v>216</v>
      </c>
      <c r="C42">
        <v>38</v>
      </c>
    </row>
    <row r="43" spans="1:17" x14ac:dyDescent="0.2">
      <c r="A43" s="31"/>
      <c r="B43" s="31" t="s">
        <v>217</v>
      </c>
      <c r="C43" s="31">
        <v>39</v>
      </c>
      <c r="D43" s="31"/>
      <c r="E43" s="47"/>
      <c r="F43" s="35">
        <v>1</v>
      </c>
      <c r="G43" s="31"/>
      <c r="H43" s="47">
        <f t="shared" si="1"/>
        <v>0</v>
      </c>
    </row>
    <row r="44" spans="1:17" x14ac:dyDescent="0.2">
      <c r="B44" t="s">
        <v>218</v>
      </c>
      <c r="C44">
        <v>40</v>
      </c>
      <c r="F44" s="58" t="s">
        <v>219</v>
      </c>
      <c r="J44" t="s">
        <v>302</v>
      </c>
    </row>
    <row r="45" spans="1:17" x14ac:dyDescent="0.2">
      <c r="A45" s="31"/>
      <c r="B45" s="31" t="s">
        <v>190</v>
      </c>
      <c r="C45" s="31">
        <v>41</v>
      </c>
      <c r="D45" s="31"/>
      <c r="E45" s="47"/>
      <c r="F45" s="31"/>
      <c r="G45" s="31"/>
      <c r="H45" s="47"/>
      <c r="J45" s="102" t="s">
        <v>303</v>
      </c>
      <c r="K45" s="102"/>
      <c r="L45" s="102"/>
      <c r="M45" s="102"/>
      <c r="N45" s="102"/>
      <c r="O45" s="102"/>
      <c r="P45" s="102"/>
      <c r="Q45" s="102"/>
    </row>
    <row r="46" spans="1:17" x14ac:dyDescent="0.2">
      <c r="A46" s="59" t="s">
        <v>220</v>
      </c>
      <c r="C46">
        <v>42</v>
      </c>
      <c r="H46" s="27">
        <f>SUM(H47:H48)</f>
        <v>0</v>
      </c>
    </row>
    <row r="47" spans="1:17" x14ac:dyDescent="0.2">
      <c r="A47" s="31"/>
      <c r="B47" s="31" t="s">
        <v>221</v>
      </c>
      <c r="C47" s="31">
        <v>43</v>
      </c>
      <c r="D47" s="31"/>
      <c r="E47" s="47">
        <f>'1.1NSFR(不含ETF空头)'!$D$40+'1.1NSFR(不含ETF空头)'!$D$41</f>
        <v>0</v>
      </c>
      <c r="F47" s="35">
        <v>0.05</v>
      </c>
      <c r="G47" s="31"/>
      <c r="H47" s="47">
        <f t="shared" ref="H47:H51" si="2">E47*F47</f>
        <v>0</v>
      </c>
    </row>
    <row r="48" spans="1:17" x14ac:dyDescent="0.2">
      <c r="B48" t="s">
        <v>222</v>
      </c>
      <c r="C48">
        <v>44</v>
      </c>
      <c r="E48" s="27">
        <v>0</v>
      </c>
      <c r="F48" s="34">
        <v>0.05</v>
      </c>
      <c r="H48" s="27">
        <f t="shared" si="2"/>
        <v>0</v>
      </c>
      <c r="I48" t="s">
        <v>289</v>
      </c>
    </row>
    <row r="49" spans="1:8" x14ac:dyDescent="0.2">
      <c r="A49" s="67" t="s">
        <v>223</v>
      </c>
      <c r="B49" s="31"/>
      <c r="C49" s="31">
        <v>45</v>
      </c>
      <c r="D49" s="31"/>
      <c r="E49" s="47"/>
      <c r="F49" s="31"/>
      <c r="G49" s="31"/>
      <c r="H49" s="47">
        <f>SUM(H50:H51)</f>
        <v>0</v>
      </c>
    </row>
    <row r="50" spans="1:8" x14ac:dyDescent="0.2">
      <c r="B50" t="s">
        <v>224</v>
      </c>
      <c r="C50">
        <v>46</v>
      </c>
      <c r="F50" s="34">
        <v>0.01</v>
      </c>
      <c r="H50" s="27">
        <f t="shared" si="2"/>
        <v>0</v>
      </c>
    </row>
    <row r="51" spans="1:8" x14ac:dyDescent="0.2">
      <c r="A51" s="31"/>
      <c r="B51" s="31" t="s">
        <v>225</v>
      </c>
      <c r="C51" s="31">
        <v>47</v>
      </c>
      <c r="D51" s="31"/>
      <c r="E51" s="47"/>
      <c r="F51" s="35">
        <v>0.01</v>
      </c>
      <c r="G51" s="31"/>
      <c r="H51" s="47">
        <f t="shared" si="2"/>
        <v>0</v>
      </c>
    </row>
    <row r="52" spans="1:8" x14ac:dyDescent="0.2">
      <c r="A52" s="62" t="s">
        <v>226</v>
      </c>
      <c r="B52" s="62"/>
      <c r="C52" s="62">
        <v>48</v>
      </c>
      <c r="D52" s="62"/>
      <c r="E52" s="73"/>
      <c r="F52" s="62"/>
      <c r="G52" s="62"/>
      <c r="H52" s="73">
        <f>SUM(H53:H70)</f>
        <v>0</v>
      </c>
    </row>
    <row r="53" spans="1:8" x14ac:dyDescent="0.2">
      <c r="B53" t="s">
        <v>227</v>
      </c>
      <c r="C53">
        <v>49</v>
      </c>
    </row>
    <row r="54" spans="1:8" x14ac:dyDescent="0.2">
      <c r="A54" s="31"/>
      <c r="B54" s="31" t="s">
        <v>228</v>
      </c>
      <c r="C54" s="31">
        <v>50</v>
      </c>
      <c r="D54" s="31"/>
      <c r="E54" s="47"/>
      <c r="F54" s="31"/>
      <c r="G54" s="31"/>
      <c r="H54" s="47"/>
    </row>
    <row r="55" spans="1:8" x14ac:dyDescent="0.2">
      <c r="B55" t="s">
        <v>229</v>
      </c>
      <c r="C55">
        <v>51</v>
      </c>
      <c r="F55" s="34">
        <v>0.5</v>
      </c>
      <c r="H55" s="27">
        <f t="shared" ref="H55:H69" si="3">E55*F55</f>
        <v>0</v>
      </c>
    </row>
    <row r="56" spans="1:8" x14ac:dyDescent="0.2">
      <c r="A56" s="31"/>
      <c r="B56" s="31" t="s">
        <v>230</v>
      </c>
      <c r="C56" s="31">
        <v>52</v>
      </c>
      <c r="D56" s="31"/>
      <c r="E56" s="47"/>
      <c r="F56" s="35">
        <v>0.4</v>
      </c>
      <c r="G56" s="31"/>
      <c r="H56" s="47">
        <f t="shared" si="3"/>
        <v>0</v>
      </c>
    </row>
    <row r="57" spans="1:8" x14ac:dyDescent="0.2">
      <c r="B57" t="s">
        <v>231</v>
      </c>
      <c r="C57">
        <v>53</v>
      </c>
      <c r="F57" s="34">
        <v>0.15</v>
      </c>
      <c r="H57" s="27">
        <f t="shared" si="3"/>
        <v>0</v>
      </c>
    </row>
    <row r="58" spans="1:8" x14ac:dyDescent="0.2">
      <c r="A58" s="31"/>
      <c r="B58" s="31" t="s">
        <v>232</v>
      </c>
      <c r="C58" s="31">
        <v>54</v>
      </c>
      <c r="D58" s="31"/>
      <c r="E58" s="47"/>
      <c r="F58" s="68" t="s">
        <v>237</v>
      </c>
      <c r="G58" s="31"/>
      <c r="H58" s="47"/>
    </row>
    <row r="59" spans="1:8" x14ac:dyDescent="0.2">
      <c r="B59" t="s">
        <v>233</v>
      </c>
      <c r="C59">
        <v>55</v>
      </c>
      <c r="F59" s="34">
        <v>0.2</v>
      </c>
      <c r="H59" s="27">
        <f t="shared" si="3"/>
        <v>0</v>
      </c>
    </row>
    <row r="60" spans="1:8" x14ac:dyDescent="0.2">
      <c r="A60" s="31"/>
      <c r="B60" s="31" t="s">
        <v>234</v>
      </c>
      <c r="C60" s="31">
        <v>56</v>
      </c>
      <c r="D60" s="31"/>
      <c r="E60" s="47"/>
      <c r="F60" s="35">
        <v>0.1</v>
      </c>
      <c r="G60" s="31"/>
      <c r="H60" s="47">
        <f t="shared" si="3"/>
        <v>0</v>
      </c>
    </row>
    <row r="61" spans="1:8" x14ac:dyDescent="0.2">
      <c r="B61" t="s">
        <v>235</v>
      </c>
      <c r="C61">
        <v>57</v>
      </c>
      <c r="F61" s="34">
        <v>0.3</v>
      </c>
      <c r="H61" s="27">
        <f t="shared" si="3"/>
        <v>0</v>
      </c>
    </row>
    <row r="62" spans="1:8" x14ac:dyDescent="0.2">
      <c r="A62" s="31"/>
      <c r="B62" s="31" t="s">
        <v>236</v>
      </c>
      <c r="C62" s="31">
        <v>58</v>
      </c>
      <c r="D62" s="31"/>
      <c r="E62" s="47"/>
      <c r="F62" s="31"/>
      <c r="G62" s="31"/>
      <c r="H62" s="47"/>
    </row>
    <row r="63" spans="1:8" x14ac:dyDescent="0.2">
      <c r="B63" t="s">
        <v>238</v>
      </c>
      <c r="C63">
        <v>59</v>
      </c>
      <c r="F63" s="34">
        <v>0.1</v>
      </c>
      <c r="H63" s="27">
        <f t="shared" si="3"/>
        <v>0</v>
      </c>
    </row>
    <row r="64" spans="1:8" x14ac:dyDescent="0.2">
      <c r="A64" s="31"/>
      <c r="B64" s="31" t="s">
        <v>239</v>
      </c>
      <c r="C64" s="31">
        <v>60</v>
      </c>
      <c r="D64" s="31"/>
      <c r="E64" s="47"/>
      <c r="F64" s="35">
        <v>1</v>
      </c>
      <c r="G64" s="31"/>
      <c r="H64" s="47">
        <f t="shared" si="3"/>
        <v>0</v>
      </c>
    </row>
    <row r="65" spans="1:8" x14ac:dyDescent="0.2">
      <c r="B65" t="s">
        <v>240</v>
      </c>
      <c r="C65">
        <v>61</v>
      </c>
      <c r="F65" s="34">
        <v>1</v>
      </c>
      <c r="H65" s="27">
        <f t="shared" si="3"/>
        <v>0</v>
      </c>
    </row>
    <row r="66" spans="1:8" x14ac:dyDescent="0.2">
      <c r="A66" s="31"/>
      <c r="B66" s="31" t="s">
        <v>241</v>
      </c>
      <c r="C66" s="31">
        <v>62</v>
      </c>
      <c r="D66" s="31"/>
      <c r="E66" s="47"/>
      <c r="F66" s="31"/>
      <c r="G66" s="31"/>
      <c r="H66" s="47"/>
    </row>
    <row r="67" spans="1:8" x14ac:dyDescent="0.2">
      <c r="B67" t="s">
        <v>242</v>
      </c>
      <c r="C67">
        <v>63</v>
      </c>
      <c r="F67" s="34">
        <v>0.01</v>
      </c>
      <c r="H67" s="27">
        <f t="shared" si="3"/>
        <v>0</v>
      </c>
    </row>
    <row r="68" spans="1:8" x14ac:dyDescent="0.2">
      <c r="A68" s="31"/>
      <c r="B68" s="31" t="s">
        <v>243</v>
      </c>
      <c r="C68" s="31">
        <v>64</v>
      </c>
      <c r="D68" s="31"/>
      <c r="E68" s="47"/>
      <c r="F68" s="35">
        <v>0.1</v>
      </c>
      <c r="G68" s="31"/>
      <c r="H68" s="47">
        <f t="shared" si="3"/>
        <v>0</v>
      </c>
    </row>
    <row r="69" spans="1:8" x14ac:dyDescent="0.2">
      <c r="B69" t="s">
        <v>244</v>
      </c>
      <c r="C69">
        <v>65</v>
      </c>
      <c r="F69" s="34">
        <v>0.2</v>
      </c>
      <c r="H69" s="27">
        <f t="shared" si="3"/>
        <v>0</v>
      </c>
    </row>
    <row r="70" spans="1:8" x14ac:dyDescent="0.2">
      <c r="A70" s="31"/>
      <c r="B70" s="31" t="s">
        <v>190</v>
      </c>
      <c r="C70" s="31">
        <v>66</v>
      </c>
      <c r="D70" s="31"/>
      <c r="E70" s="47"/>
      <c r="F70" s="31"/>
      <c r="G70" s="31"/>
      <c r="H70" s="47"/>
    </row>
    <row r="71" spans="1:8" x14ac:dyDescent="0.2">
      <c r="A71" s="62" t="s">
        <v>245</v>
      </c>
      <c r="B71" s="62"/>
      <c r="C71" s="62">
        <v>67</v>
      </c>
      <c r="D71" s="62"/>
      <c r="E71" s="73"/>
      <c r="F71" s="62"/>
      <c r="G71" s="62"/>
      <c r="H71" s="73">
        <f>SUM(H72:H78)</f>
        <v>0</v>
      </c>
    </row>
    <row r="72" spans="1:8" x14ac:dyDescent="0.2">
      <c r="B72" t="s">
        <v>246</v>
      </c>
      <c r="C72">
        <v>68</v>
      </c>
      <c r="F72" s="34">
        <v>0.12</v>
      </c>
      <c r="H72" s="27">
        <f t="shared" ref="H72:H78" si="4">E72*F72</f>
        <v>0</v>
      </c>
    </row>
    <row r="73" spans="1:8" x14ac:dyDescent="0.2">
      <c r="A73" s="31"/>
      <c r="B73" s="31" t="s">
        <v>247</v>
      </c>
      <c r="C73" s="31">
        <v>69</v>
      </c>
      <c r="D73" s="31"/>
      <c r="E73" s="47"/>
      <c r="F73" s="35">
        <v>0.12</v>
      </c>
      <c r="G73" s="31"/>
      <c r="H73" s="47">
        <f t="shared" si="4"/>
        <v>0</v>
      </c>
    </row>
    <row r="74" spans="1:8" x14ac:dyDescent="0.2">
      <c r="B74" t="s">
        <v>248</v>
      </c>
      <c r="C74">
        <v>70</v>
      </c>
      <c r="F74" s="34">
        <v>0.15</v>
      </c>
      <c r="H74" s="27">
        <f t="shared" si="4"/>
        <v>0</v>
      </c>
    </row>
    <row r="75" spans="1:8" x14ac:dyDescent="0.2">
      <c r="A75" s="31"/>
      <c r="B75" s="31" t="s">
        <v>249</v>
      </c>
      <c r="C75" s="31">
        <v>71</v>
      </c>
      <c r="D75" s="31"/>
      <c r="E75" s="47"/>
      <c r="F75" s="35">
        <v>0.15</v>
      </c>
      <c r="G75" s="31"/>
      <c r="H75" s="47">
        <f t="shared" si="4"/>
        <v>0</v>
      </c>
    </row>
    <row r="76" spans="1:8" x14ac:dyDescent="0.2">
      <c r="B76" t="s">
        <v>250</v>
      </c>
      <c r="C76">
        <v>72</v>
      </c>
      <c r="F76" s="34">
        <v>0.18</v>
      </c>
      <c r="H76" s="27">
        <f t="shared" si="4"/>
        <v>0</v>
      </c>
    </row>
    <row r="77" spans="1:8" x14ac:dyDescent="0.2">
      <c r="A77" s="31"/>
      <c r="B77" s="31" t="s">
        <v>251</v>
      </c>
      <c r="C77" s="31">
        <v>73</v>
      </c>
      <c r="D77" s="31"/>
      <c r="E77" s="47"/>
      <c r="F77" s="35">
        <v>0.18</v>
      </c>
      <c r="G77" s="31"/>
      <c r="H77" s="47">
        <f t="shared" si="4"/>
        <v>0</v>
      </c>
    </row>
    <row r="78" spans="1:8" x14ac:dyDescent="0.2">
      <c r="B78" t="s">
        <v>252</v>
      </c>
      <c r="C78">
        <v>74</v>
      </c>
      <c r="F78" s="34">
        <v>0.18</v>
      </c>
      <c r="H78" s="27">
        <f t="shared" si="4"/>
        <v>0</v>
      </c>
    </row>
    <row r="79" spans="1:8" x14ac:dyDescent="0.2">
      <c r="A79" s="62" t="s">
        <v>253</v>
      </c>
      <c r="B79" s="62"/>
      <c r="C79" s="62">
        <v>75</v>
      </c>
      <c r="D79" s="62"/>
      <c r="E79" s="73"/>
      <c r="F79" s="62"/>
      <c r="G79" s="62"/>
      <c r="H79" s="73">
        <f>SUM(H80:H99)</f>
        <v>0</v>
      </c>
    </row>
    <row r="80" spans="1:8" x14ac:dyDescent="0.2">
      <c r="B80" t="s">
        <v>254</v>
      </c>
      <c r="C80">
        <v>76</v>
      </c>
    </row>
    <row r="81" spans="1:8" x14ac:dyDescent="0.2">
      <c r="A81" s="31"/>
      <c r="B81" s="31" t="s">
        <v>255</v>
      </c>
      <c r="C81" s="31">
        <v>77</v>
      </c>
      <c r="D81" s="31"/>
      <c r="E81" s="47"/>
      <c r="F81" s="31"/>
      <c r="G81" s="31"/>
      <c r="H81" s="47"/>
    </row>
    <row r="82" spans="1:8" x14ac:dyDescent="0.2">
      <c r="B82" t="s">
        <v>256</v>
      </c>
      <c r="C82">
        <v>78</v>
      </c>
      <c r="F82" s="60">
        <v>3.0000000000000001E-3</v>
      </c>
      <c r="H82" s="27">
        <f t="shared" ref="H82:H85" si="5">E82*F82</f>
        <v>0</v>
      </c>
    </row>
    <row r="83" spans="1:8" x14ac:dyDescent="0.2">
      <c r="A83" s="31"/>
      <c r="B83" s="31" t="s">
        <v>257</v>
      </c>
      <c r="C83" s="31">
        <v>79</v>
      </c>
      <c r="D83" s="31"/>
      <c r="E83" s="47"/>
      <c r="F83" s="35">
        <v>0.03</v>
      </c>
      <c r="G83" s="31"/>
      <c r="H83" s="47">
        <f t="shared" si="5"/>
        <v>0</v>
      </c>
    </row>
    <row r="84" spans="1:8" x14ac:dyDescent="0.2">
      <c r="B84" t="s">
        <v>258</v>
      </c>
      <c r="C84">
        <v>80</v>
      </c>
      <c r="F84" s="34">
        <v>0.06</v>
      </c>
      <c r="H84" s="27">
        <f t="shared" si="5"/>
        <v>0</v>
      </c>
    </row>
    <row r="85" spans="1:8" x14ac:dyDescent="0.2">
      <c r="A85" s="31"/>
      <c r="B85" s="31" t="s">
        <v>259</v>
      </c>
      <c r="C85" s="31">
        <v>81</v>
      </c>
      <c r="D85" s="31"/>
      <c r="E85" s="47"/>
      <c r="F85" s="69">
        <v>8.0000000000000002E-3</v>
      </c>
      <c r="G85" s="31"/>
      <c r="H85" s="47">
        <f t="shared" si="5"/>
        <v>0</v>
      </c>
    </row>
    <row r="86" spans="1:8" x14ac:dyDescent="0.2">
      <c r="B86" s="57" t="s">
        <v>260</v>
      </c>
      <c r="C86">
        <v>82</v>
      </c>
    </row>
    <row r="87" spans="1:8" x14ac:dyDescent="0.2">
      <c r="A87" s="31"/>
      <c r="B87" s="31" t="s">
        <v>261</v>
      </c>
      <c r="C87" s="31">
        <v>83</v>
      </c>
      <c r="D87" s="31"/>
      <c r="E87" s="47"/>
      <c r="F87" s="31"/>
      <c r="G87" s="31"/>
      <c r="H87" s="47"/>
    </row>
    <row r="88" spans="1:8" x14ac:dyDescent="0.2">
      <c r="B88" t="s">
        <v>256</v>
      </c>
      <c r="C88">
        <v>84</v>
      </c>
      <c r="F88" s="60">
        <v>5.0000000000000001E-3</v>
      </c>
      <c r="H88" s="27">
        <f t="shared" ref="H88:H91" si="6">E88*F88</f>
        <v>0</v>
      </c>
    </row>
    <row r="89" spans="1:8" x14ac:dyDescent="0.2">
      <c r="A89" s="31"/>
      <c r="B89" s="31" t="s">
        <v>257</v>
      </c>
      <c r="C89" s="31">
        <v>85</v>
      </c>
      <c r="D89" s="31"/>
      <c r="E89" s="47"/>
      <c r="F89" s="35">
        <v>0.05</v>
      </c>
      <c r="G89" s="31"/>
      <c r="H89" s="47">
        <f t="shared" si="6"/>
        <v>0</v>
      </c>
    </row>
    <row r="90" spans="1:8" x14ac:dyDescent="0.2">
      <c r="B90" t="s">
        <v>258</v>
      </c>
      <c r="C90">
        <v>86</v>
      </c>
      <c r="F90" s="34">
        <v>0.1</v>
      </c>
      <c r="H90" s="27">
        <f t="shared" si="6"/>
        <v>0</v>
      </c>
    </row>
    <row r="91" spans="1:8" x14ac:dyDescent="0.2">
      <c r="A91" s="31"/>
      <c r="B91" s="31" t="s">
        <v>259</v>
      </c>
      <c r="C91" s="31">
        <v>87</v>
      </c>
      <c r="D91" s="31"/>
      <c r="E91" s="47"/>
      <c r="F91" s="35">
        <v>0.03</v>
      </c>
      <c r="G91" s="31"/>
      <c r="H91" s="47">
        <f t="shared" si="6"/>
        <v>0</v>
      </c>
    </row>
    <row r="92" spans="1:8" x14ac:dyDescent="0.2">
      <c r="B92" t="s">
        <v>260</v>
      </c>
      <c r="C92">
        <v>88</v>
      </c>
    </row>
    <row r="93" spans="1:8" x14ac:dyDescent="0.2">
      <c r="A93" s="31"/>
      <c r="B93" s="31" t="s">
        <v>262</v>
      </c>
      <c r="C93" s="31">
        <v>89</v>
      </c>
      <c r="D93" s="31"/>
      <c r="E93" s="47"/>
      <c r="F93" s="31"/>
      <c r="G93" s="31"/>
      <c r="H93" s="47"/>
    </row>
    <row r="94" spans="1:8" x14ac:dyDescent="0.2">
      <c r="B94" t="s">
        <v>264</v>
      </c>
      <c r="C94">
        <v>90</v>
      </c>
      <c r="F94" s="34">
        <v>0.02</v>
      </c>
      <c r="H94" s="27">
        <f t="shared" ref="H94:H99" si="7">E94*F94</f>
        <v>0</v>
      </c>
    </row>
    <row r="95" spans="1:8" x14ac:dyDescent="0.2">
      <c r="A95" s="31"/>
      <c r="B95" s="31" t="s">
        <v>265</v>
      </c>
      <c r="C95" s="31">
        <v>91</v>
      </c>
      <c r="D95" s="31"/>
      <c r="E95" s="47"/>
      <c r="F95" s="35">
        <v>0.01</v>
      </c>
      <c r="G95" s="31"/>
      <c r="H95" s="47">
        <f t="shared" si="7"/>
        <v>0</v>
      </c>
    </row>
    <row r="96" spans="1:8" x14ac:dyDescent="0.2">
      <c r="B96" t="s">
        <v>263</v>
      </c>
      <c r="C96">
        <v>92</v>
      </c>
    </row>
    <row r="97" spans="1:8" x14ac:dyDescent="0.2">
      <c r="A97" s="31"/>
      <c r="B97" s="31" t="s">
        <v>266</v>
      </c>
      <c r="C97" s="31">
        <v>93</v>
      </c>
      <c r="D97" s="31"/>
      <c r="E97" s="47"/>
      <c r="F97" s="69">
        <v>5.0000000000000001E-3</v>
      </c>
      <c r="G97" s="31"/>
      <c r="H97" s="47">
        <f t="shared" si="7"/>
        <v>0</v>
      </c>
    </row>
    <row r="98" spans="1:8" x14ac:dyDescent="0.2">
      <c r="B98" t="s">
        <v>267</v>
      </c>
      <c r="C98">
        <v>94</v>
      </c>
      <c r="F98" s="34">
        <v>0.02</v>
      </c>
      <c r="H98" s="27">
        <f t="shared" si="7"/>
        <v>0</v>
      </c>
    </row>
    <row r="99" spans="1:8" x14ac:dyDescent="0.2">
      <c r="A99" s="31"/>
      <c r="B99" s="31" t="s">
        <v>268</v>
      </c>
      <c r="C99" s="31">
        <v>95</v>
      </c>
      <c r="D99" s="31"/>
      <c r="E99" s="47"/>
      <c r="F99" s="35">
        <v>0.01</v>
      </c>
      <c r="G99" s="31"/>
      <c r="H99" s="47">
        <f t="shared" si="7"/>
        <v>0</v>
      </c>
    </row>
    <row r="100" spans="1:8" x14ac:dyDescent="0.2">
      <c r="A100" s="62" t="s">
        <v>269</v>
      </c>
      <c r="B100" s="62"/>
      <c r="C100" s="62">
        <v>96</v>
      </c>
      <c r="D100" s="62"/>
      <c r="E100" s="73"/>
      <c r="F100" s="62"/>
      <c r="G100" s="62"/>
      <c r="H100" s="73"/>
    </row>
    <row r="101" spans="1:8" x14ac:dyDescent="0.2">
      <c r="B101" s="57" t="s">
        <v>270</v>
      </c>
      <c r="C101">
        <v>97</v>
      </c>
      <c r="H101" s="27">
        <f>SUM(H5,H52,H71,H79)</f>
        <v>7.4</v>
      </c>
    </row>
    <row r="102" spans="1:8" s="72" customFormat="1" ht="20.25" x14ac:dyDescent="0.3">
      <c r="A102" s="70"/>
      <c r="B102" s="71" t="s">
        <v>271</v>
      </c>
      <c r="C102" s="70">
        <v>98</v>
      </c>
      <c r="D102" s="70"/>
      <c r="E102" s="74"/>
      <c r="F102" s="70">
        <v>0.8</v>
      </c>
      <c r="G102" s="75">
        <v>92.5</v>
      </c>
      <c r="H102" s="74">
        <f>$H$101*$F$102+$G$102</f>
        <v>98.42</v>
      </c>
    </row>
    <row r="103" spans="1:8" x14ac:dyDescent="0.2">
      <c r="B103" t="s">
        <v>272</v>
      </c>
      <c r="C103">
        <v>99</v>
      </c>
    </row>
    <row r="104" spans="1:8" x14ac:dyDescent="0.2">
      <c r="G104" s="65" t="s">
        <v>275</v>
      </c>
      <c r="H104" s="64">
        <f>H102/G102-1</f>
        <v>6.4000000000000057E-2</v>
      </c>
    </row>
  </sheetData>
  <mergeCells count="8">
    <mergeCell ref="J45:Q45"/>
    <mergeCell ref="A1:H1"/>
    <mergeCell ref="G3:H3"/>
    <mergeCell ref="A3:B4"/>
    <mergeCell ref="C3:C4"/>
    <mergeCell ref="D3:D4"/>
    <mergeCell ref="E3:E4"/>
    <mergeCell ref="F3:F4"/>
  </mergeCells>
  <phoneticPr fontId="2" type="noConversion"/>
  <pageMargins left="0.7" right="0.7" top="0.75" bottom="0.75" header="0.3" footer="0.3"/>
  <pageSetup paperSize="9" scale="20" fitToHeight="0"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pageSetUpPr fitToPage="1"/>
  </sheetPr>
  <dimension ref="A1:K75"/>
  <sheetViews>
    <sheetView topLeftCell="A40" zoomScaleNormal="100" workbookViewId="0">
      <selection activeCell="B83" sqref="B83"/>
    </sheetView>
  </sheetViews>
  <sheetFormatPr defaultColWidth="9" defaultRowHeight="14.25" x14ac:dyDescent="0.2"/>
  <cols>
    <col min="1" max="1" width="35.875" style="1" customWidth="1"/>
    <col min="2" max="2" width="79.75" style="1" customWidth="1"/>
    <col min="3" max="3" width="5.375" style="1" customWidth="1"/>
    <col min="4" max="4" width="13.5" style="40" bestFit="1" customWidth="1"/>
    <col min="5" max="5" width="9" style="1"/>
    <col min="6" max="6" width="11.375" style="40" customWidth="1"/>
    <col min="7" max="16384" width="9" style="1"/>
  </cols>
  <sheetData>
    <row r="1" spans="1:7" ht="25.5" x14ac:dyDescent="0.35">
      <c r="A1" s="97" t="s">
        <v>70</v>
      </c>
      <c r="B1" s="97"/>
      <c r="C1" s="97"/>
      <c r="D1" s="97"/>
      <c r="E1" s="97"/>
      <c r="F1" s="97"/>
    </row>
    <row r="2" spans="1:7" ht="14.25" customHeight="1" x14ac:dyDescent="0.2">
      <c r="A2" s="2"/>
      <c r="C2" s="3"/>
      <c r="E2" s="18" t="s">
        <v>71</v>
      </c>
      <c r="F2" s="43" t="s">
        <v>136</v>
      </c>
    </row>
    <row r="3" spans="1:7" x14ac:dyDescent="0.2">
      <c r="A3" s="98" t="s">
        <v>0</v>
      </c>
      <c r="B3" s="98"/>
      <c r="C3" s="5" t="s">
        <v>1</v>
      </c>
      <c r="D3" s="49" t="s">
        <v>2</v>
      </c>
      <c r="E3" s="5" t="s">
        <v>3</v>
      </c>
      <c r="F3" s="38" t="s">
        <v>4</v>
      </c>
      <c r="G3" s="5" t="s">
        <v>72</v>
      </c>
    </row>
    <row r="4" spans="1:7" x14ac:dyDescent="0.2">
      <c r="A4" s="6" t="s">
        <v>5</v>
      </c>
      <c r="B4" s="6"/>
      <c r="C4" s="5">
        <v>1</v>
      </c>
      <c r="D4" s="39">
        <f>SUM(F5:F21)+G4</f>
        <v>109.81</v>
      </c>
      <c r="E4" s="6"/>
      <c r="F4" s="39"/>
      <c r="G4" s="4">
        <v>118.81</v>
      </c>
    </row>
    <row r="5" spans="1:7" ht="14.25" customHeight="1" x14ac:dyDescent="0.2">
      <c r="A5" s="8" t="s">
        <v>6</v>
      </c>
      <c r="B5" s="9" t="s">
        <v>7</v>
      </c>
      <c r="C5" s="10">
        <v>2</v>
      </c>
      <c r="D5" s="40">
        <f>'1.1NSFR(不含ETF空头)'!$D$15</f>
        <v>-9</v>
      </c>
      <c r="E5" s="13">
        <v>1</v>
      </c>
      <c r="F5" s="37">
        <f>D5*E5</f>
        <v>-9</v>
      </c>
    </row>
    <row r="6" spans="1:7" ht="14.25" customHeight="1" x14ac:dyDescent="0.2">
      <c r="A6" s="11"/>
      <c r="B6" s="11" t="s">
        <v>8</v>
      </c>
      <c r="C6" s="12">
        <v>3</v>
      </c>
      <c r="D6" s="41"/>
      <c r="E6" s="14">
        <v>1</v>
      </c>
      <c r="F6" s="44">
        <f>D6*E6</f>
        <v>0</v>
      </c>
    </row>
    <row r="7" spans="1:7" ht="14.25" customHeight="1" x14ac:dyDescent="0.2">
      <c r="A7" s="9"/>
      <c r="B7" s="9" t="s">
        <v>9</v>
      </c>
      <c r="C7" s="10">
        <v>4</v>
      </c>
      <c r="E7" s="13">
        <v>1</v>
      </c>
      <c r="F7" s="37">
        <f t="shared" ref="F7:F20" si="0">D7*E7</f>
        <v>0</v>
      </c>
    </row>
    <row r="8" spans="1:7" ht="14.25" customHeight="1" x14ac:dyDescent="0.2">
      <c r="A8" s="11"/>
      <c r="B8" s="11" t="s">
        <v>10</v>
      </c>
      <c r="C8" s="12">
        <v>5</v>
      </c>
      <c r="D8" s="41"/>
      <c r="E8" s="14">
        <v>1</v>
      </c>
      <c r="F8" s="44">
        <f>-D8*E8</f>
        <v>0</v>
      </c>
    </row>
    <row r="9" spans="1:7" ht="14.25" customHeight="1" x14ac:dyDescent="0.2">
      <c r="A9" s="9"/>
      <c r="B9" s="9" t="s">
        <v>11</v>
      </c>
      <c r="C9" s="10">
        <v>6</v>
      </c>
      <c r="E9" s="13">
        <v>0.99</v>
      </c>
      <c r="F9" s="37">
        <f t="shared" si="0"/>
        <v>0</v>
      </c>
    </row>
    <row r="10" spans="1:7" ht="14.25" customHeight="1" x14ac:dyDescent="0.2">
      <c r="A10" s="11"/>
      <c r="B10" s="11" t="s">
        <v>10</v>
      </c>
      <c r="C10" s="12">
        <v>7</v>
      </c>
      <c r="D10" s="41"/>
      <c r="E10" s="14">
        <v>0.99</v>
      </c>
      <c r="F10" s="44">
        <f>-D10*E10</f>
        <v>0</v>
      </c>
    </row>
    <row r="11" spans="1:7" ht="14.25" customHeight="1" x14ac:dyDescent="0.2">
      <c r="A11" s="9"/>
      <c r="B11" s="9" t="s">
        <v>12</v>
      </c>
      <c r="C11" s="10">
        <v>8</v>
      </c>
      <c r="E11" s="13">
        <v>0.95</v>
      </c>
      <c r="F11" s="37">
        <f t="shared" si="0"/>
        <v>0</v>
      </c>
    </row>
    <row r="12" spans="1:7" ht="14.25" customHeight="1" x14ac:dyDescent="0.2">
      <c r="A12" s="11"/>
      <c r="B12" s="11" t="s">
        <v>10</v>
      </c>
      <c r="C12" s="12">
        <v>9</v>
      </c>
      <c r="D12" s="41"/>
      <c r="E12" s="14">
        <v>0.95</v>
      </c>
      <c r="F12" s="44">
        <f>-D12*E12</f>
        <v>0</v>
      </c>
    </row>
    <row r="13" spans="1:7" ht="14.25" customHeight="1" x14ac:dyDescent="0.2">
      <c r="A13" s="9"/>
      <c r="B13" s="9" t="s">
        <v>13</v>
      </c>
      <c r="C13" s="10">
        <v>10</v>
      </c>
      <c r="E13" s="13">
        <v>0.95</v>
      </c>
      <c r="F13" s="37">
        <f t="shared" si="0"/>
        <v>0</v>
      </c>
    </row>
    <row r="14" spans="1:7" ht="14.25" customHeight="1" x14ac:dyDescent="0.2">
      <c r="A14" s="11"/>
      <c r="B14" s="11" t="s">
        <v>10</v>
      </c>
      <c r="C14" s="12">
        <v>11</v>
      </c>
      <c r="D14" s="41"/>
      <c r="E14" s="14">
        <v>0.95</v>
      </c>
      <c r="F14" s="44">
        <f>-D14*E14</f>
        <v>0</v>
      </c>
    </row>
    <row r="15" spans="1:7" ht="14.25" customHeight="1" x14ac:dyDescent="0.2">
      <c r="A15" s="9"/>
      <c r="B15" s="9" t="s">
        <v>14</v>
      </c>
      <c r="C15" s="10">
        <v>12</v>
      </c>
      <c r="E15" s="13">
        <v>0.96</v>
      </c>
      <c r="F15" s="37">
        <f t="shared" si="0"/>
        <v>0</v>
      </c>
    </row>
    <row r="16" spans="1:7" ht="14.25" customHeight="1" x14ac:dyDescent="0.2">
      <c r="A16" s="11"/>
      <c r="B16" s="11" t="s">
        <v>10</v>
      </c>
      <c r="C16" s="12">
        <v>13</v>
      </c>
      <c r="D16" s="41"/>
      <c r="E16" s="14">
        <v>0.96</v>
      </c>
      <c r="F16" s="44">
        <f>-D16*E16</f>
        <v>0</v>
      </c>
    </row>
    <row r="17" spans="1:6" ht="14.25" customHeight="1" x14ac:dyDescent="0.2">
      <c r="A17" s="9"/>
      <c r="B17" s="9" t="s">
        <v>285</v>
      </c>
      <c r="C17" s="10">
        <v>14</v>
      </c>
      <c r="E17" s="13">
        <v>0.9</v>
      </c>
      <c r="F17" s="37">
        <f t="shared" si="0"/>
        <v>0</v>
      </c>
    </row>
    <row r="18" spans="1:6" ht="14.25" customHeight="1" x14ac:dyDescent="0.2">
      <c r="A18" s="11"/>
      <c r="B18" s="11" t="s">
        <v>10</v>
      </c>
      <c r="C18" s="12">
        <v>15</v>
      </c>
      <c r="D18" s="41"/>
      <c r="E18" s="14">
        <v>0.9</v>
      </c>
      <c r="F18" s="44">
        <f>-D18*E18</f>
        <v>0</v>
      </c>
    </row>
    <row r="19" spans="1:6" ht="14.25" customHeight="1" x14ac:dyDescent="0.2">
      <c r="A19" s="9"/>
      <c r="B19" s="9" t="s">
        <v>15</v>
      </c>
      <c r="C19" s="10">
        <v>16</v>
      </c>
      <c r="E19" s="13">
        <v>0.9</v>
      </c>
      <c r="F19" s="37">
        <f t="shared" si="0"/>
        <v>0</v>
      </c>
    </row>
    <row r="20" spans="1:6" ht="14.25" customHeight="1" x14ac:dyDescent="0.2">
      <c r="A20" s="11"/>
      <c r="B20" s="11" t="s">
        <v>16</v>
      </c>
      <c r="C20" s="12">
        <v>17</v>
      </c>
      <c r="D20" s="92"/>
      <c r="E20" s="14">
        <v>0.4</v>
      </c>
      <c r="F20" s="44">
        <f t="shared" si="0"/>
        <v>0</v>
      </c>
    </row>
    <row r="21" spans="1:6" ht="14.25" customHeight="1" x14ac:dyDescent="0.2">
      <c r="A21" s="9"/>
      <c r="B21" s="9" t="s">
        <v>10</v>
      </c>
      <c r="C21" s="10">
        <v>18</v>
      </c>
      <c r="E21" s="13">
        <v>0.4</v>
      </c>
      <c r="F21" s="37">
        <f>-D21*E21</f>
        <v>0</v>
      </c>
    </row>
    <row r="22" spans="1:6" x14ac:dyDescent="0.2">
      <c r="A22" s="6" t="s">
        <v>17</v>
      </c>
      <c r="B22" s="6"/>
      <c r="C22" s="5">
        <v>19</v>
      </c>
      <c r="D22" s="39">
        <f>SUM(F24:F38,F40:F41,F43:F49,F51:F54,F56,F58:F59)</f>
        <v>4.04</v>
      </c>
      <c r="E22" s="15"/>
      <c r="F22" s="45"/>
    </row>
    <row r="23" spans="1:6" x14ac:dyDescent="0.2">
      <c r="A23" s="9" t="s">
        <v>18</v>
      </c>
      <c r="B23" s="9"/>
      <c r="C23" s="10">
        <v>20</v>
      </c>
      <c r="E23" s="13"/>
      <c r="F23" s="37"/>
    </row>
    <row r="24" spans="1:6" x14ac:dyDescent="0.2">
      <c r="A24" s="11"/>
      <c r="B24" s="11" t="s">
        <v>19</v>
      </c>
      <c r="C24" s="12">
        <v>21</v>
      </c>
      <c r="D24" s="41"/>
      <c r="E24" s="14">
        <v>1</v>
      </c>
      <c r="F24" s="44">
        <f>D24*E24</f>
        <v>0</v>
      </c>
    </row>
    <row r="25" spans="1:6" x14ac:dyDescent="0.2">
      <c r="A25" s="9"/>
      <c r="B25" s="9" t="s">
        <v>20</v>
      </c>
      <c r="C25" s="10">
        <v>22</v>
      </c>
      <c r="E25" s="13">
        <v>1</v>
      </c>
      <c r="F25" s="37">
        <f>D25*E25</f>
        <v>0</v>
      </c>
    </row>
    <row r="26" spans="1:6" x14ac:dyDescent="0.2">
      <c r="A26" s="11"/>
      <c r="B26" s="11" t="s">
        <v>21</v>
      </c>
      <c r="C26" s="12">
        <v>23</v>
      </c>
      <c r="D26" s="41"/>
      <c r="E26" s="14"/>
      <c r="F26" s="44"/>
    </row>
    <row r="27" spans="1:6" x14ac:dyDescent="0.2">
      <c r="A27" s="9"/>
      <c r="B27" s="9" t="s">
        <v>32</v>
      </c>
      <c r="C27" s="10">
        <v>24</v>
      </c>
      <c r="E27" s="13">
        <v>0</v>
      </c>
      <c r="F27" s="37">
        <f t="shared" ref="F27:F59" si="1">D27*E27</f>
        <v>0</v>
      </c>
    </row>
    <row r="28" spans="1:6" x14ac:dyDescent="0.2">
      <c r="A28" s="11"/>
      <c r="B28" s="11" t="s">
        <v>33</v>
      </c>
      <c r="C28" s="12">
        <v>25</v>
      </c>
      <c r="D28" s="41"/>
      <c r="E28" s="14">
        <v>0.01</v>
      </c>
      <c r="F28" s="44">
        <f t="shared" si="1"/>
        <v>0</v>
      </c>
    </row>
    <row r="29" spans="1:6" x14ac:dyDescent="0.2">
      <c r="A29" s="9"/>
      <c r="B29" s="9" t="s">
        <v>34</v>
      </c>
      <c r="C29" s="10">
        <v>26</v>
      </c>
      <c r="E29" s="13">
        <v>0.05</v>
      </c>
      <c r="F29" s="37">
        <f t="shared" si="1"/>
        <v>0</v>
      </c>
    </row>
    <row r="30" spans="1:6" x14ac:dyDescent="0.2">
      <c r="A30" s="11"/>
      <c r="B30" s="11" t="s">
        <v>35</v>
      </c>
      <c r="C30" s="12">
        <v>27</v>
      </c>
      <c r="D30" s="41"/>
      <c r="E30" s="14">
        <v>0.05</v>
      </c>
      <c r="F30" s="44">
        <f t="shared" si="1"/>
        <v>0</v>
      </c>
    </row>
    <row r="31" spans="1:6" x14ac:dyDescent="0.2">
      <c r="A31" s="9"/>
      <c r="B31" s="9" t="s">
        <v>36</v>
      </c>
      <c r="C31" s="10">
        <v>28</v>
      </c>
      <c r="E31" s="13">
        <v>0.04</v>
      </c>
      <c r="F31" s="37">
        <f t="shared" si="1"/>
        <v>0</v>
      </c>
    </row>
    <row r="32" spans="1:6" x14ac:dyDescent="0.2">
      <c r="A32" s="11"/>
      <c r="B32" s="11" t="s">
        <v>286</v>
      </c>
      <c r="C32" s="12">
        <v>29</v>
      </c>
      <c r="D32" s="41"/>
      <c r="E32" s="14">
        <v>0.1</v>
      </c>
      <c r="F32" s="44">
        <f t="shared" si="1"/>
        <v>0</v>
      </c>
    </row>
    <row r="33" spans="1:7" x14ac:dyDescent="0.2">
      <c r="A33" s="9"/>
      <c r="B33" s="9" t="s">
        <v>37</v>
      </c>
      <c r="C33" s="10">
        <v>30</v>
      </c>
      <c r="E33" s="13">
        <v>0.3</v>
      </c>
      <c r="F33" s="37">
        <f t="shared" si="1"/>
        <v>0</v>
      </c>
    </row>
    <row r="34" spans="1:7" x14ac:dyDescent="0.2">
      <c r="A34" s="11"/>
      <c r="B34" s="11" t="s">
        <v>38</v>
      </c>
      <c r="C34" s="12">
        <v>31</v>
      </c>
      <c r="D34" s="41"/>
      <c r="E34" s="14">
        <v>0.1</v>
      </c>
      <c r="F34" s="44">
        <f t="shared" si="1"/>
        <v>0</v>
      </c>
    </row>
    <row r="35" spans="1:7" x14ac:dyDescent="0.2">
      <c r="A35" s="9"/>
      <c r="B35" s="9" t="s">
        <v>39</v>
      </c>
      <c r="C35" s="10">
        <v>32</v>
      </c>
      <c r="E35" s="13">
        <v>1</v>
      </c>
      <c r="F35" s="37">
        <f t="shared" si="1"/>
        <v>0</v>
      </c>
    </row>
    <row r="36" spans="1:7" x14ac:dyDescent="0.2">
      <c r="A36" s="11"/>
      <c r="B36" s="11" t="s">
        <v>40</v>
      </c>
      <c r="C36" s="12">
        <v>33</v>
      </c>
      <c r="D36" s="41"/>
      <c r="E36" s="14">
        <v>1</v>
      </c>
      <c r="F36" s="44">
        <f t="shared" si="1"/>
        <v>0</v>
      </c>
    </row>
    <row r="37" spans="1:7" x14ac:dyDescent="0.2">
      <c r="A37" s="9"/>
      <c r="B37" s="9" t="s">
        <v>41</v>
      </c>
      <c r="C37" s="10">
        <v>34</v>
      </c>
      <c r="D37" s="87">
        <f>汇总情况!$D$4*20%</f>
        <v>4</v>
      </c>
      <c r="E37" s="13">
        <v>1</v>
      </c>
      <c r="F37" s="37">
        <f t="shared" si="1"/>
        <v>4</v>
      </c>
      <c r="G37" s="1" t="s">
        <v>300</v>
      </c>
    </row>
    <row r="38" spans="1:7" x14ac:dyDescent="0.2">
      <c r="A38" s="11"/>
      <c r="B38" s="11" t="s">
        <v>42</v>
      </c>
      <c r="C38" s="12">
        <v>35</v>
      </c>
      <c r="D38" s="41"/>
      <c r="E38" s="14">
        <v>1</v>
      </c>
      <c r="F38" s="44">
        <f t="shared" si="1"/>
        <v>0</v>
      </c>
    </row>
    <row r="39" spans="1:7" x14ac:dyDescent="0.2">
      <c r="A39" s="9" t="s">
        <v>22</v>
      </c>
      <c r="B39" s="9"/>
      <c r="C39" s="10">
        <v>36</v>
      </c>
      <c r="E39" s="13"/>
      <c r="F39" s="37"/>
    </row>
    <row r="40" spans="1:7" x14ac:dyDescent="0.2">
      <c r="A40" s="11"/>
      <c r="B40" s="11" t="s">
        <v>43</v>
      </c>
      <c r="C40" s="12">
        <v>37</v>
      </c>
      <c r="D40" s="41"/>
      <c r="E40" s="14">
        <v>0.03</v>
      </c>
      <c r="F40" s="44">
        <f t="shared" si="1"/>
        <v>0</v>
      </c>
    </row>
    <row r="41" spans="1:7" x14ac:dyDescent="0.2">
      <c r="A41" s="9"/>
      <c r="B41" s="9" t="s">
        <v>44</v>
      </c>
      <c r="C41" s="10">
        <v>38</v>
      </c>
      <c r="E41" s="13">
        <v>0.03</v>
      </c>
      <c r="F41" s="37">
        <f t="shared" si="1"/>
        <v>0</v>
      </c>
    </row>
    <row r="42" spans="1:7" x14ac:dyDescent="0.2">
      <c r="A42" s="11" t="s">
        <v>25</v>
      </c>
      <c r="B42" s="11"/>
      <c r="C42" s="12">
        <v>39</v>
      </c>
      <c r="D42" s="41"/>
      <c r="E42" s="14"/>
      <c r="F42" s="44"/>
    </row>
    <row r="43" spans="1:7" x14ac:dyDescent="0.2">
      <c r="A43" s="9"/>
      <c r="B43" s="9" t="s">
        <v>26</v>
      </c>
      <c r="C43" s="10">
        <v>40</v>
      </c>
      <c r="E43" s="16">
        <v>1E-3</v>
      </c>
      <c r="F43" s="37">
        <f t="shared" si="1"/>
        <v>0</v>
      </c>
    </row>
    <row r="44" spans="1:7" x14ac:dyDescent="0.2">
      <c r="A44" s="11"/>
      <c r="B44" s="11" t="s">
        <v>27</v>
      </c>
      <c r="C44" s="12">
        <v>41</v>
      </c>
      <c r="D44" s="41">
        <f>'1.1NSFR(不含ETF空头)'!$D$67</f>
        <v>20</v>
      </c>
      <c r="E44" s="17">
        <v>2E-3</v>
      </c>
      <c r="F44" s="44">
        <f t="shared" si="1"/>
        <v>0.04</v>
      </c>
      <c r="G44" s="1" t="s">
        <v>170</v>
      </c>
    </row>
    <row r="45" spans="1:7" x14ac:dyDescent="0.2">
      <c r="A45" s="9"/>
      <c r="B45" s="9" t="s">
        <v>28</v>
      </c>
      <c r="C45" s="10">
        <v>42</v>
      </c>
      <c r="E45" s="13">
        <v>0.04</v>
      </c>
      <c r="F45" s="37">
        <f t="shared" si="1"/>
        <v>0</v>
      </c>
    </row>
    <row r="46" spans="1:7" x14ac:dyDescent="0.2">
      <c r="A46" s="11"/>
      <c r="B46" s="11" t="s">
        <v>29</v>
      </c>
      <c r="C46" s="12">
        <v>43</v>
      </c>
      <c r="D46" s="41"/>
      <c r="E46" s="14">
        <v>0.12</v>
      </c>
      <c r="F46" s="44">
        <f t="shared" si="1"/>
        <v>0</v>
      </c>
    </row>
    <row r="47" spans="1:7" x14ac:dyDescent="0.2">
      <c r="A47" s="9"/>
      <c r="B47" s="9" t="s">
        <v>30</v>
      </c>
      <c r="C47" s="10">
        <v>44</v>
      </c>
      <c r="E47" s="13">
        <v>0.2</v>
      </c>
      <c r="F47" s="37">
        <f t="shared" si="1"/>
        <v>0</v>
      </c>
    </row>
    <row r="48" spans="1:7" x14ac:dyDescent="0.2">
      <c r="A48" s="11"/>
      <c r="B48" s="11" t="s">
        <v>31</v>
      </c>
      <c r="C48" s="12">
        <v>45</v>
      </c>
      <c r="D48" s="41"/>
      <c r="E48" s="14">
        <v>1</v>
      </c>
      <c r="F48" s="44">
        <f t="shared" si="1"/>
        <v>0</v>
      </c>
    </row>
    <row r="49" spans="1:6" x14ac:dyDescent="0.2">
      <c r="A49" s="9"/>
      <c r="B49" s="9" t="s">
        <v>45</v>
      </c>
      <c r="C49" s="10">
        <v>46</v>
      </c>
      <c r="E49" s="13">
        <v>1</v>
      </c>
      <c r="F49" s="37">
        <f t="shared" si="1"/>
        <v>0</v>
      </c>
    </row>
    <row r="50" spans="1:6" x14ac:dyDescent="0.2">
      <c r="A50" s="11" t="s">
        <v>46</v>
      </c>
      <c r="B50" s="11"/>
      <c r="C50" s="12">
        <v>47</v>
      </c>
      <c r="D50" s="41"/>
      <c r="E50" s="14"/>
      <c r="F50" s="44"/>
    </row>
    <row r="51" spans="1:6" x14ac:dyDescent="0.2">
      <c r="A51" s="9"/>
      <c r="B51" s="9" t="s">
        <v>47</v>
      </c>
      <c r="C51" s="10">
        <v>48</v>
      </c>
      <c r="E51" s="13">
        <v>0.15</v>
      </c>
      <c r="F51" s="37">
        <f t="shared" si="1"/>
        <v>0</v>
      </c>
    </row>
    <row r="52" spans="1:6" x14ac:dyDescent="0.2">
      <c r="A52" s="11"/>
      <c r="B52" s="11" t="s">
        <v>48</v>
      </c>
      <c r="C52" s="12">
        <v>49</v>
      </c>
      <c r="D52" s="41"/>
      <c r="E52" s="14">
        <v>0.1</v>
      </c>
      <c r="F52" s="44">
        <f t="shared" si="1"/>
        <v>0</v>
      </c>
    </row>
    <row r="53" spans="1:6" x14ac:dyDescent="0.2">
      <c r="A53" s="9"/>
      <c r="B53" s="9" t="s">
        <v>49</v>
      </c>
      <c r="C53" s="10">
        <v>50</v>
      </c>
      <c r="E53" s="13">
        <v>0.05</v>
      </c>
      <c r="F53" s="37">
        <f t="shared" si="1"/>
        <v>0</v>
      </c>
    </row>
    <row r="54" spans="1:6" x14ac:dyDescent="0.2">
      <c r="A54" s="11" t="s">
        <v>50</v>
      </c>
      <c r="B54" s="11"/>
      <c r="C54" s="12">
        <v>51</v>
      </c>
      <c r="D54" s="41"/>
      <c r="E54" s="14">
        <v>0.05</v>
      </c>
      <c r="F54" s="44">
        <f t="shared" si="1"/>
        <v>0</v>
      </c>
    </row>
    <row r="55" spans="1:6" x14ac:dyDescent="0.2">
      <c r="A55" s="9" t="s">
        <v>51</v>
      </c>
      <c r="B55" s="9"/>
      <c r="C55" s="10">
        <v>52</v>
      </c>
      <c r="E55" s="13"/>
      <c r="F55" s="37"/>
    </row>
    <row r="56" spans="1:6" x14ac:dyDescent="0.2">
      <c r="A56" s="11"/>
      <c r="B56" s="11" t="s">
        <v>52</v>
      </c>
      <c r="C56" s="12">
        <v>53</v>
      </c>
      <c r="D56" s="41"/>
      <c r="E56" s="14">
        <v>1</v>
      </c>
      <c r="F56" s="44">
        <f t="shared" si="1"/>
        <v>0</v>
      </c>
    </row>
    <row r="57" spans="1:6" x14ac:dyDescent="0.2">
      <c r="A57" s="9" t="s">
        <v>53</v>
      </c>
      <c r="B57" s="9"/>
      <c r="C57" s="10">
        <v>54</v>
      </c>
      <c r="E57" s="13"/>
      <c r="F57" s="37"/>
    </row>
    <row r="58" spans="1:6" x14ac:dyDescent="0.2">
      <c r="A58" s="11"/>
      <c r="B58" s="11" t="s">
        <v>54</v>
      </c>
      <c r="C58" s="12">
        <v>55</v>
      </c>
      <c r="D58" s="41"/>
      <c r="E58" s="14">
        <v>1</v>
      </c>
      <c r="F58" s="44">
        <f t="shared" si="1"/>
        <v>0</v>
      </c>
    </row>
    <row r="59" spans="1:6" x14ac:dyDescent="0.2">
      <c r="A59" s="9"/>
      <c r="B59" s="9" t="s">
        <v>55</v>
      </c>
      <c r="C59" s="10">
        <v>56</v>
      </c>
      <c r="E59" s="13">
        <v>1</v>
      </c>
      <c r="F59" s="37">
        <f t="shared" si="1"/>
        <v>0</v>
      </c>
    </row>
    <row r="60" spans="1:6" x14ac:dyDescent="0.2">
      <c r="A60" s="6" t="s">
        <v>56</v>
      </c>
      <c r="B60" s="6"/>
      <c r="C60" s="5">
        <v>57</v>
      </c>
      <c r="D60" s="39">
        <f>SUM(F62:F65,F67:F69,F71:F72)</f>
        <v>0</v>
      </c>
      <c r="E60" s="15"/>
      <c r="F60" s="39"/>
    </row>
    <row r="61" spans="1:6" x14ac:dyDescent="0.2">
      <c r="A61" s="9" t="s">
        <v>57</v>
      </c>
      <c r="B61" s="9"/>
      <c r="C61" s="10">
        <v>58</v>
      </c>
      <c r="E61" s="13"/>
      <c r="F61" s="37"/>
    </row>
    <row r="62" spans="1:6" x14ac:dyDescent="0.2">
      <c r="A62" s="11"/>
      <c r="B62" s="11" t="s">
        <v>58</v>
      </c>
      <c r="C62" s="12">
        <v>59</v>
      </c>
      <c r="D62" s="41"/>
      <c r="E62" s="14">
        <v>1</v>
      </c>
      <c r="F62" s="44">
        <f>D62*E62</f>
        <v>0</v>
      </c>
    </row>
    <row r="63" spans="1:6" x14ac:dyDescent="0.2">
      <c r="A63" s="9"/>
      <c r="B63" s="9" t="s">
        <v>59</v>
      </c>
      <c r="C63" s="10">
        <v>60</v>
      </c>
      <c r="E63" s="13">
        <v>0.5</v>
      </c>
      <c r="F63" s="37">
        <f>D63*E63</f>
        <v>0</v>
      </c>
    </row>
    <row r="64" spans="1:6" x14ac:dyDescent="0.2">
      <c r="A64" s="11"/>
      <c r="B64" s="11" t="s">
        <v>60</v>
      </c>
      <c r="C64" s="12">
        <v>61</v>
      </c>
      <c r="D64" s="41"/>
      <c r="E64" s="14">
        <v>0.9</v>
      </c>
      <c r="F64" s="44">
        <f>D64*E64</f>
        <v>0</v>
      </c>
    </row>
    <row r="65" spans="1:11" x14ac:dyDescent="0.2">
      <c r="A65" s="9"/>
      <c r="B65" s="9" t="s">
        <v>61</v>
      </c>
      <c r="C65" s="10">
        <v>62</v>
      </c>
      <c r="E65" s="13">
        <v>0.5</v>
      </c>
      <c r="F65" s="37">
        <f>D65*E65</f>
        <v>0</v>
      </c>
    </row>
    <row r="66" spans="1:11" x14ac:dyDescent="0.2">
      <c r="A66" s="11" t="s">
        <v>62</v>
      </c>
      <c r="B66" s="11"/>
      <c r="C66" s="12">
        <v>63</v>
      </c>
      <c r="D66" s="41"/>
      <c r="E66" s="14"/>
      <c r="F66" s="44"/>
    </row>
    <row r="67" spans="1:11" x14ac:dyDescent="0.2">
      <c r="A67" s="9"/>
      <c r="B67" s="9" t="s">
        <v>287</v>
      </c>
      <c r="C67" s="10">
        <v>64</v>
      </c>
      <c r="E67" s="13">
        <v>0.75</v>
      </c>
      <c r="F67" s="37">
        <f t="shared" ref="F67:F72" si="2">D67*E67</f>
        <v>0</v>
      </c>
    </row>
    <row r="68" spans="1:11" x14ac:dyDescent="0.2">
      <c r="A68" s="11" t="s">
        <v>63</v>
      </c>
      <c r="B68" s="11"/>
      <c r="C68" s="12">
        <v>65</v>
      </c>
      <c r="D68" s="41"/>
      <c r="E68" s="14">
        <v>0.5</v>
      </c>
      <c r="F68" s="44">
        <f t="shared" si="2"/>
        <v>0</v>
      </c>
    </row>
    <row r="69" spans="1:11" ht="29.25" customHeight="1" x14ac:dyDescent="0.2">
      <c r="A69" s="19" t="s">
        <v>64</v>
      </c>
      <c r="B69" s="9"/>
      <c r="C69" s="20">
        <v>66</v>
      </c>
      <c r="D69" s="50"/>
      <c r="E69" s="21">
        <v>0.75</v>
      </c>
      <c r="F69" s="51">
        <f t="shared" si="2"/>
        <v>0</v>
      </c>
    </row>
    <row r="70" spans="1:11" x14ac:dyDescent="0.2">
      <c r="A70" s="11" t="s">
        <v>65</v>
      </c>
      <c r="B70" s="11"/>
      <c r="C70" s="12">
        <v>67</v>
      </c>
      <c r="D70" s="41"/>
      <c r="E70" s="14"/>
      <c r="F70" s="44"/>
      <c r="J70" s="93"/>
      <c r="K70" s="93"/>
    </row>
    <row r="71" spans="1:11" x14ac:dyDescent="0.2">
      <c r="A71" s="9"/>
      <c r="B71" s="9" t="s">
        <v>66</v>
      </c>
      <c r="C71" s="10">
        <v>68</v>
      </c>
      <c r="E71" s="13">
        <v>0.95</v>
      </c>
      <c r="F71" s="37">
        <f t="shared" si="2"/>
        <v>0</v>
      </c>
      <c r="J71" s="93"/>
      <c r="K71" s="93"/>
    </row>
    <row r="72" spans="1:11" x14ac:dyDescent="0.2">
      <c r="A72" s="11"/>
      <c r="B72" s="11" t="s">
        <v>67</v>
      </c>
      <c r="C72" s="12">
        <v>69</v>
      </c>
      <c r="D72" s="41"/>
      <c r="E72" s="14">
        <v>0.95</v>
      </c>
      <c r="F72" s="44">
        <f t="shared" si="2"/>
        <v>0</v>
      </c>
      <c r="J72" s="93"/>
      <c r="K72" s="93"/>
    </row>
    <row r="73" spans="1:11" x14ac:dyDescent="0.2">
      <c r="A73" s="6" t="s">
        <v>68</v>
      </c>
      <c r="B73" s="7"/>
      <c r="C73" s="5">
        <v>70</v>
      </c>
      <c r="D73" s="39">
        <f>D22-MIN(D60,75%*D22)+G73</f>
        <v>83.81</v>
      </c>
      <c r="E73" s="15"/>
      <c r="F73" s="39"/>
      <c r="G73" s="4">
        <v>79.77</v>
      </c>
    </row>
    <row r="74" spans="1:11" ht="18" x14ac:dyDescent="0.25">
      <c r="A74" s="22" t="s">
        <v>69</v>
      </c>
      <c r="B74" s="22"/>
      <c r="C74" s="23">
        <v>71</v>
      </c>
      <c r="D74" s="42">
        <f>D4/D73*100%</f>
        <v>1.310225510082329</v>
      </c>
      <c r="E74" s="24"/>
      <c r="F74" s="46"/>
      <c r="G74" s="48">
        <f>G4/G73*100%</f>
        <v>1.4894070452551085</v>
      </c>
    </row>
    <row r="75" spans="1:11" x14ac:dyDescent="0.2">
      <c r="C75" s="53" t="s">
        <v>172</v>
      </c>
      <c r="D75" s="52">
        <f>D74/G74-1</f>
        <v>-0.1203039395735428</v>
      </c>
    </row>
  </sheetData>
  <sheetProtection sheet="1" objects="1" scenarios="1"/>
  <mergeCells count="2">
    <mergeCell ref="A3:B3"/>
    <mergeCell ref="A1:F1"/>
  </mergeCells>
  <phoneticPr fontId="2" type="noConversion"/>
  <pageMargins left="0.7" right="0.7" top="0.75" bottom="0.75" header="0.3" footer="0.3"/>
  <pageSetup paperSize="9" scale="48" fitToHeight="0" orientation="landscape" r:id="rId1"/>
  <colBreaks count="1" manualBreakCount="1">
    <brk id="1" max="74"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1</vt:i4>
      </vt:variant>
    </vt:vector>
  </HeadingPairs>
  <TitlesOfParts>
    <vt:vector size="6" baseType="lpstr">
      <vt:lpstr>汇总情况</vt:lpstr>
      <vt:lpstr>1.1NSFR(不含ETF空头)</vt:lpstr>
      <vt:lpstr>1.2净资本(不含ETF空头)</vt:lpstr>
      <vt:lpstr>1.3风险资本准备计算表(不含ETF空头)</vt:lpstr>
      <vt:lpstr>1.4LCR(不含ETF空头)</vt:lpstr>
      <vt:lpstr>汇总情况!Print_Area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2023-08-09T12:24:36Z</dcterms:modified>
</cp:coreProperties>
</file>